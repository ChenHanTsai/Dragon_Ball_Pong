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B7FE6334-C1A2-E50D-BD3D-5F4D41BBC2E3}"/>
  <workbookPr codeName="ThisWorkbook" defaultThemeVersion="124226"/>
  <bookViews>
    <workbookView xWindow="-12" yWindow="4632" windowWidth="15576" windowHeight="4680"/>
  </bookViews>
  <sheets>
    <sheet name="Pong Rubric" sheetId="1" r:id="rId1"/>
  </sheets>
  <calcPr calcId="145621"/>
</workbook>
</file>

<file path=xl/calcChain.xml><?xml version="1.0" encoding="utf-8"?>
<calcChain xmlns="http://schemas.openxmlformats.org/spreadsheetml/2006/main">
  <c r="J99" i="1" l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8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53" i="1"/>
  <c r="J54" i="1"/>
  <c r="J55" i="1"/>
  <c r="J56" i="1"/>
  <c r="J57" i="1"/>
  <c r="J58" i="1"/>
  <c r="J46" i="1"/>
  <c r="J47" i="1"/>
  <c r="J48" i="1"/>
  <c r="J49" i="1"/>
  <c r="J38" i="1"/>
  <c r="J39" i="1"/>
  <c r="J42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81" i="1"/>
  <c r="J45" i="1"/>
  <c r="J52" i="1"/>
  <c r="J61" i="1"/>
  <c r="J78" i="1"/>
  <c r="J37" i="1"/>
  <c r="J16" i="1"/>
  <c r="J10" i="1"/>
  <c r="J11" i="1"/>
  <c r="J12" i="1"/>
  <c r="J13" i="1"/>
  <c r="J9" i="1"/>
  <c r="J102" i="1" l="1"/>
  <c r="J103" i="1"/>
</calcChain>
</file>

<file path=xl/comments1.xml><?xml version="1.0" encoding="utf-8"?>
<comments xmlns="http://schemas.openxmlformats.org/spreadsheetml/2006/main">
  <authors>
    <author>Full Sail Employee</author>
  </authors>
  <commentList>
    <comment ref="G9" authorId="0">
      <text>
        <r>
          <rPr>
            <sz val="9"/>
            <color indexed="9"/>
            <rFont val="Verdana"/>
            <family val="2"/>
          </rPr>
          <t>Multi-Threading 
• Implement a game for Windows that utilizes multiple threads.
• The program’s WinMain thread must be responsible for Windows message processing.
• The program’s GameMain thread must perform game related tasks.</t>
        </r>
      </text>
    </comment>
    <comment ref="G10" authorId="0">
      <text>
        <r>
          <rPr>
            <sz val="9"/>
            <color indexed="9"/>
            <rFont val="Verdana"/>
            <family val="2"/>
          </rPr>
          <t>Display Game Components 
• Represent each of the following game components with a graphic:
      o The Ball
      o The Left Paddle
      o The Right Paddle
• The graphic can be a filled shape, a colorful bitmap, or both.</t>
        </r>
      </text>
    </comment>
    <comment ref="G11" authorId="0">
      <text>
        <r>
          <rPr>
            <sz val="9"/>
            <color indexed="9"/>
            <rFont val="Verdana"/>
            <family val="2"/>
          </rPr>
          <t>Bitmaps: Background</t>
        </r>
        <r>
          <rPr>
            <sz val="9"/>
            <color indexed="11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Display a bitmap image that will represent the background.</t>
        </r>
      </text>
    </comment>
    <comment ref="G12" authorId="0">
      <text>
        <r>
          <rPr>
            <sz val="9"/>
            <color indexed="9"/>
            <rFont val="Verdana"/>
            <family val="2"/>
          </rPr>
          <t>Simple Physics &amp; Collisions
• Employ a simple physics system that enables the Ball &amp; Paddles to move across the field of play.
• Implement simple collision detections and responses for the following interactions:
      o Ball to Wall – The Ball must be 
         programmed to move the opposite
         direction.
      o Paddle to Wall – The Paddle must 
         be stopped from going any further.
      o Ball to Paddle – The Ball must be 
         programmed to move the opposite 
         direction.
• At no point should the Ball or Paddles be allowed to leave the field of play.
• It may be necessary to reposition the Ball or Paddles if they get stuck.</t>
        </r>
      </text>
    </comment>
    <comment ref="G13" authorId="0">
      <text>
        <r>
          <rPr>
            <sz val="9"/>
            <color indexed="9"/>
            <rFont val="Verdana"/>
            <family val="2"/>
          </rPr>
          <t>Scoreboard
• Tally up and render the scores for the Left and Right Paddles.
• It is up to the game designer to determine what constitutes a scoring event and how points will be award or deducted.</t>
        </r>
      </text>
    </comment>
    <comment ref="G16" authorId="0">
      <text>
        <r>
          <rPr>
            <sz val="9"/>
            <color indexed="55"/>
            <rFont val="Verdana"/>
            <family val="2"/>
          </rPr>
          <t xml:space="preserve">Color Selection: Game Components
</t>
        </r>
        <r>
          <rPr>
            <sz val="9"/>
            <color indexed="9"/>
            <rFont val="Verdana"/>
            <family val="2"/>
          </rPr>
          <t>• Allow the user to change the color for the following game components:
      o The Ball
      o The Left Paddle
      o The Right Paddle
      o The Scoreboard
      o The Background</t>
        </r>
      </text>
    </comment>
    <comment ref="G17" authorId="0">
      <text>
        <r>
          <rPr>
            <sz val="9"/>
            <color indexed="55"/>
            <rFont val="Verdana"/>
            <family val="2"/>
          </rPr>
          <t xml:space="preserve">Color Selection: Random
</t>
        </r>
        <r>
          <rPr>
            <sz val="9"/>
            <color indexed="9"/>
            <rFont val="Verdana"/>
            <family val="2"/>
          </rPr>
          <t>• Allow the user to set all the colors used in the game to random values via a menu item.</t>
        </r>
      </text>
    </comment>
    <comment ref="G18" authorId="0">
      <text>
        <r>
          <rPr>
            <sz val="9"/>
            <color indexed="11"/>
            <rFont val="Verdana"/>
            <family val="2"/>
          </rPr>
          <t xml:space="preserve">Bitmaps: Left Paddle
</t>
        </r>
        <r>
          <rPr>
            <sz val="9"/>
            <color indexed="9"/>
            <rFont val="Verdana"/>
            <family val="2"/>
          </rPr>
          <t>• Display a bitmap image that will represent the Left Paddle.</t>
        </r>
      </text>
    </comment>
    <comment ref="G19" authorId="0">
      <text>
        <r>
          <rPr>
            <sz val="9"/>
            <color indexed="11"/>
            <rFont val="Verdana"/>
            <family val="2"/>
          </rPr>
          <t xml:space="preserve">Bitmaps: Right Paddle 
</t>
        </r>
        <r>
          <rPr>
            <sz val="9"/>
            <color indexed="9"/>
            <rFont val="Verdana"/>
            <family val="2"/>
          </rPr>
          <t>• Display a bitmap image that will represent the Right Paddle.</t>
        </r>
      </text>
    </comment>
    <comment ref="G20" authorId="0">
      <text>
        <r>
          <rPr>
            <sz val="9"/>
            <color indexed="11"/>
            <rFont val="Verdana"/>
            <family val="2"/>
          </rPr>
          <t xml:space="preserve">Bitmaps: Ball
</t>
        </r>
        <r>
          <rPr>
            <sz val="9"/>
            <color indexed="9"/>
            <rFont val="Verdana"/>
            <family val="2"/>
          </rPr>
          <t>• Display a bitmap image that will represent the Ball.</t>
        </r>
      </text>
    </comment>
    <comment ref="G21" authorId="0">
      <text>
        <r>
          <rPr>
            <sz val="9"/>
            <color indexed="11"/>
            <rFont val="Verdana"/>
            <family val="2"/>
          </rPr>
          <t xml:space="preserve">Bitmaps: Scoreboard Tally
</t>
        </r>
        <r>
          <rPr>
            <sz val="9"/>
            <color indexed="9"/>
            <rFont val="Verdana"/>
            <family val="2"/>
          </rPr>
          <t>• For each point a Paddle has scored, display a bitmap image.
• The bitmap image can also represent lives/health which will be reduced when a Paddle is scored upon.</t>
        </r>
      </text>
    </comment>
    <comment ref="G22" authorId="0">
      <text>
        <r>
          <rPr>
            <sz val="9"/>
            <color indexed="11"/>
            <rFont val="Verdana"/>
            <family val="2"/>
          </rPr>
          <t xml:space="preserve">Bitmap Fonts 
</t>
        </r>
        <r>
          <rPr>
            <sz val="9"/>
            <color indexed="9"/>
            <rFont val="Verdana"/>
            <family val="2"/>
          </rPr>
          <t xml:space="preserve">
• Display 3 strings and/or numeric values using a Bitmap Font. 
• A Bitmap Font is an image file that contains letters and/or numbers.
• The programmer must make a series of calls to DrawBitmap, each time rendering 1 of the characters in a string or 1 of the digits in a numeric value.</t>
        </r>
      </text>
    </comment>
    <comment ref="G23" authorId="0">
      <text>
        <r>
          <rPr>
            <sz val="9"/>
            <color indexed="11"/>
            <rFont val="Verdana"/>
            <family val="2"/>
          </rPr>
          <t xml:space="preserve">Percentage Bar 
</t>
        </r>
        <r>
          <rPr>
            <sz val="9"/>
            <color indexed="9"/>
            <rFont val="Verdana"/>
            <family val="2"/>
          </rPr>
          <t>• Display a filled rectangle that will represent a percentage value used by the game.
• Modify the length of the filled rectangle based upon the percentage value.
• This percentage value can represent anything, some examples being: the Paddle’s health, the amount of energy needed to enable a special ability, or the amount of time until the next boss battle begins.</t>
        </r>
      </text>
    </comment>
    <comment ref="G24" authorId="0">
      <text>
        <r>
          <rPr>
            <sz val="9"/>
            <color indexed="11"/>
            <rFont val="Verdana"/>
            <family val="2"/>
          </rPr>
          <t xml:space="preserve">Gradient Brush
</t>
        </r>
        <r>
          <rPr>
            <sz val="9"/>
            <color indexed="9"/>
            <rFont val="Verdana"/>
            <family val="2"/>
          </rPr>
          <t>• Utilize a Direct2D linear or radial gradient brush to display a game component or user interface element.
• Look up "How to Create a Linear Gradient Brush (Windows)" and/or
"How to Create a Radial Gradient Brush (Windows)" in the MSDN for more details.</t>
        </r>
      </text>
    </comment>
    <comment ref="G25" authorId="0">
      <text>
        <r>
          <rPr>
            <sz val="9"/>
            <color indexed="11"/>
            <rFont val="Verdana"/>
            <family val="2"/>
          </rPr>
          <t xml:space="preserve">Sprite Animation 
</t>
        </r>
        <r>
          <rPr>
            <sz val="9"/>
            <color indexed="9"/>
            <rFont val="Verdana"/>
            <family val="2"/>
          </rPr>
          <t>• Render a game component using a sprite animation.</t>
        </r>
      </text>
    </comment>
    <comment ref="G26" authorId="0">
      <text>
        <r>
          <rPr>
            <sz val="9"/>
            <color indexed="55"/>
            <rFont val="Verdana"/>
            <family val="2"/>
          </rPr>
          <t xml:space="preserve">Multiple Sprite Animations
</t>
        </r>
        <r>
          <rPr>
            <sz val="9"/>
            <color indexed="9"/>
            <rFont val="Verdana"/>
            <family val="2"/>
          </rPr>
          <t>• Render a second game component using a different sprite animation.</t>
        </r>
      </text>
    </comment>
    <comment ref="G27" authorId="0">
      <text>
        <r>
          <rPr>
            <sz val="9"/>
            <color indexed="11"/>
            <rFont val="Verdana"/>
            <family val="2"/>
          </rPr>
          <t xml:space="preserve">In-Client Title Screen 
</t>
        </r>
        <r>
          <rPr>
            <sz val="9"/>
            <color indexed="9"/>
            <rFont val="Verdana"/>
            <family val="2"/>
          </rPr>
          <t>• Begin the game by displaying the title of the game within the window's client area.
• Clicking on the screen or pressing a key should start the game.
• A MessageBox Title Screen will award partial credit.</t>
        </r>
      </text>
    </comment>
    <comment ref="G28" authorId="0">
      <text>
        <r>
          <rPr>
            <sz val="9"/>
            <color indexed="55"/>
            <rFont val="Verdana"/>
            <family val="2"/>
          </rPr>
          <t xml:space="preserve">In-Game Instructions 
</t>
        </r>
        <r>
          <rPr>
            <sz val="9"/>
            <color indexed="9"/>
            <rFont val="Verdana"/>
            <family val="2"/>
          </rPr>
          <t>• Display the instructions for the game.
• This screen should inform the user what are the controls for the game and the objective of the game.</t>
        </r>
      </text>
    </comment>
    <comment ref="G29" authorId="0">
      <text>
        <r>
          <rPr>
            <sz val="9"/>
            <color indexed="55"/>
            <rFont val="Verdana"/>
            <family val="2"/>
          </rPr>
          <t xml:space="preserve">Custom Icon &amp; Cursor 
</t>
        </r>
        <r>
          <rPr>
            <sz val="9"/>
            <color indexed="9"/>
            <rFont val="Verdana"/>
            <family val="2"/>
          </rPr>
          <t>• Create a custom icon and load it up with the LoadIcon function.
• Create a custom cursor and load it up with the LoadCursor function.</t>
        </r>
      </text>
    </comment>
    <comment ref="G30" authorId="0">
      <text>
        <r>
          <rPr>
            <sz val="9"/>
            <color indexed="30"/>
            <rFont val="Verdana"/>
            <family val="2"/>
          </rPr>
          <t xml:space="preserve">Particle Effects 
</t>
        </r>
        <r>
          <rPr>
            <sz val="9"/>
            <color indexed="9"/>
            <rFont val="Verdana"/>
            <family val="2"/>
          </rPr>
          <t>• Implement a particle emitter that emits at least 5 particles.
• This effect can be attached to the Ball or the Paddles, be displayed as a collision response, or represent a weather effect in the background.
• The particles can be rendered with bitmaps, rectangles, ellipses, lines, or characters.</t>
        </r>
        <r>
          <rPr>
            <sz val="9"/>
            <color indexed="30"/>
            <rFont val="Verdana"/>
            <family val="2"/>
          </rPr>
          <t xml:space="preserve">
</t>
        </r>
      </text>
    </comment>
    <comment ref="G31" authorId="0">
      <text>
        <r>
          <rPr>
            <sz val="9"/>
            <color indexed="55"/>
            <rFont val="Verdana"/>
            <family val="2"/>
          </rPr>
          <t xml:space="preserve">Multiple Particle Effects 
</t>
        </r>
        <r>
          <rPr>
            <sz val="9"/>
            <color indexed="9"/>
            <rFont val="Verdana"/>
            <family val="2"/>
          </rPr>
          <t>• Implement a second particle emitter that emits different particles.</t>
        </r>
      </text>
    </comment>
    <comment ref="G32" authorId="0">
      <text>
        <r>
          <rPr>
            <sz val="9"/>
            <color indexed="11"/>
            <rFont val="Verdana"/>
            <family val="2"/>
          </rPr>
          <t xml:space="preserve">Shadows 
</t>
        </r>
        <r>
          <rPr>
            <sz val="9"/>
            <color indexed="9"/>
            <rFont val="Verdana"/>
            <family val="2"/>
          </rPr>
          <t>• Render a shadow effect for a game component.</t>
        </r>
      </text>
    </comment>
    <comment ref="G33" authorId="0">
      <text>
        <r>
          <rPr>
            <sz val="9"/>
            <color indexed="30"/>
            <rFont val="Verdana"/>
            <family val="2"/>
          </rPr>
          <t xml:space="preserve">3D Graphics 
</t>
        </r>
        <r>
          <rPr>
            <sz val="9"/>
            <color indexed="9"/>
            <rFont val="Verdana"/>
            <family val="2"/>
          </rPr>
          <t>• Render a game component using a 3D rendering algorithm or render the field of play so that the Ball or Paddles can move along the Z axis.</t>
        </r>
      </text>
    </comment>
    <comment ref="G34" authorId="0">
      <text>
        <r>
          <rPr>
            <sz val="9"/>
            <color indexed="14"/>
            <rFont val="Verdana"/>
            <family val="2"/>
          </rPr>
          <t xml:space="preserve">Parallax Background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Implement a background that consists of 3 or more layers.
• The layers closest to the screen must scroll at a fast pace.
• The layers in the middle must scroll at a medium pace.
• The layers farthest from the screen must scroll at a slow pace.</t>
        </r>
      </text>
    </comment>
    <comment ref="G37" authorId="0">
      <text>
        <r>
          <rPr>
            <sz val="9"/>
            <color indexed="55"/>
            <rFont val="Verdana"/>
            <family val="2"/>
          </rPr>
          <t xml:space="preserve">Keyboard Controlled Paddles 
</t>
        </r>
        <r>
          <rPr>
            <sz val="9"/>
            <color indexed="9"/>
            <rFont val="Verdana"/>
            <family val="2"/>
          </rPr>
          <t xml:space="preserve">
• Allow the user to control the Left and Right Paddles via keyboard input.</t>
        </r>
      </text>
    </comment>
    <comment ref="G38" authorId="0">
      <text>
        <r>
          <rPr>
            <sz val="9"/>
            <color indexed="11"/>
            <rFont val="Verdana"/>
            <family val="2"/>
          </rPr>
          <t xml:space="preserve">Mouse Controlled Paddle 
</t>
        </r>
        <r>
          <rPr>
            <sz val="9"/>
            <color indexed="9"/>
            <rFont val="Verdana"/>
            <family val="2"/>
          </rPr>
          <t>• Allow the user to control the Left or Right Paddles via mouse input.</t>
        </r>
      </text>
    </comment>
    <comment ref="G39" authorId="0">
      <text>
        <r>
          <rPr>
            <sz val="9"/>
            <color indexed="30"/>
            <rFont val="Verdana"/>
            <family val="2"/>
          </rPr>
          <t xml:space="preserve">Joystick Controlled Paddle 
</t>
        </r>
        <r>
          <rPr>
            <sz val="9"/>
            <color indexed="9"/>
            <rFont val="Verdana"/>
            <family val="2"/>
          </rPr>
          <t>• Allow the user to control the Left or Right Paddles via joystick input.</t>
        </r>
      </text>
    </comment>
    <comment ref="G40" authorId="0">
      <text>
        <r>
          <rPr>
            <sz val="9"/>
            <color indexed="11"/>
            <rFont val="Verdana"/>
            <family val="2"/>
          </rPr>
          <t xml:space="preserve">Disable the Windows Key or Sticky Keys
</t>
        </r>
        <r>
          <rPr>
            <sz val="9"/>
            <color indexed="9"/>
            <rFont val="Verdana"/>
            <family val="2"/>
          </rPr>
          <t>• Disabling the Windows Key and/or Sticky Keys will prevent disruption of game play.
• Look up "Disabling Shortcut Keys in Games" in the MSDN for more details.</t>
        </r>
        <r>
          <rPr>
            <sz val="9"/>
            <color indexed="11"/>
            <rFont val="Verdana"/>
            <family val="2"/>
          </rPr>
          <t xml:space="preserve">
</t>
        </r>
      </text>
    </comment>
    <comment ref="G41" authorId="0">
      <text>
        <r>
          <rPr>
            <sz val="9"/>
            <color indexed="30"/>
            <rFont val="Verdana"/>
            <family val="2"/>
          </rPr>
          <t xml:space="preserve">Raw Input
</t>
        </r>
        <r>
          <rPr>
            <sz val="9"/>
            <color indexed="9"/>
            <rFont val="Verdana"/>
            <family val="2"/>
          </rPr>
          <t>• Use the Raw Input API to determine mouse and/or keyboard input.
• The game must use the raw input data after gathering it.</t>
        </r>
      </text>
    </comment>
    <comment ref="G42" authorId="0">
      <text>
        <r>
          <rPr>
            <sz val="9"/>
            <color indexed="14"/>
            <rFont val="Verdana"/>
            <family val="2"/>
          </rPr>
          <t xml:space="preserve">Multi Mouse/Joystick Controlled Paddles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Allow the user to control both the Left and Right Paddles with two mice or two joysticks.
• Using Raw Input it is possible to decipher between touchpad input and external mouse input.</t>
        </r>
      </text>
    </comment>
    <comment ref="G45" authorId="0">
      <text>
        <r>
          <rPr>
            <sz val="9"/>
            <color indexed="55"/>
            <rFont val="Verdana"/>
            <family val="2"/>
          </rPr>
          <t xml:space="preserve">File New 
</t>
        </r>
        <r>
          <rPr>
            <sz val="9"/>
            <color indexed="9"/>
            <rFont val="Verdana"/>
            <family val="2"/>
          </rPr>
          <t xml:space="preserve">
• Allow the user to restart the game.</t>
        </r>
      </text>
    </comment>
    <comment ref="G46" authorId="0">
      <text>
        <r>
          <rPr>
            <sz val="9"/>
            <color indexed="55"/>
            <rFont val="Verdana"/>
            <family val="2"/>
          </rPr>
          <t xml:space="preserve">Static Saving &amp; Loading 
</t>
        </r>
        <r>
          <rPr>
            <sz val="9"/>
            <color indexed="9"/>
            <rFont val="Verdana"/>
            <family val="2"/>
          </rPr>
          <t>• Allow the user to save a Pong game to a file defined by the programmer (ex. Game.dat)
• Allow the user to load a Pong game from a file defined by the programmer.
• Please save and load the scores and the game mode (one player or two players).
• File IO can be accomplished by using the fstream classes.</t>
        </r>
      </text>
    </comment>
    <comment ref="G47" authorId="0">
      <text>
        <r>
          <rPr>
            <sz val="9"/>
            <color indexed="30"/>
            <rFont val="Verdana"/>
            <family val="2"/>
          </rPr>
          <t xml:space="preserve">Dynamic Saving &amp; Loading
</t>
        </r>
        <r>
          <rPr>
            <sz val="9"/>
            <color indexed="9"/>
            <rFont val="Verdana"/>
            <family val="2"/>
          </rPr>
          <t xml:space="preserve">
• Allow the user to save a Pong game to a file selected by the user.
• Allow the user to load a Pong game from a file selected by the user.
• See Common Item Dialog (Windows) in the MSDN for further details.
• Please save and load the scores and the game mode (one player or two players).
• File IO can be accomplished by using the fstream classes.</t>
        </r>
      </text>
    </comment>
    <comment ref="G48" authorId="0">
      <text>
        <r>
          <rPr>
            <sz val="9"/>
            <color indexed="55"/>
            <rFont val="Verdana"/>
            <family val="2"/>
          </rPr>
          <t xml:space="preserve">Last Chance Saving 
</t>
        </r>
        <r>
          <rPr>
            <sz val="9"/>
            <color indexed="9"/>
            <rFont val="Verdana"/>
            <family val="2"/>
          </rPr>
          <t>• Allow the user one last chance to save any time the game is about to be cleared out.
• A message box should ask the user, “Would you like to save?” and provide the options: Yes, No, Cancel.
• The following commands clear out the game: File New, Open, Exit, and the Close Button.
• Do not perform a last chance save during the Save or Save As commands.</t>
        </r>
      </text>
    </comment>
    <comment ref="G49" authorId="0">
      <text>
        <r>
          <rPr>
            <sz val="9"/>
            <color indexed="55"/>
            <rFont val="Verdana"/>
            <family val="2"/>
          </rPr>
          <t xml:space="preserve">Title-bar Management 
</t>
        </r>
        <r>
          <rPr>
            <sz val="9"/>
            <color indexed="9"/>
            <rFont val="Verdana"/>
            <family val="2"/>
          </rPr>
          <t>• Display the Program’s name along with the file name in the title-bar.
• If the game has never been saved or opened, display “Untitled” in place of the file name.
• To get credit for this goal, saving and loading must be functional.
• Use the SetWindowText function to change the title-bar string after window creation.</t>
        </r>
      </text>
    </comment>
    <comment ref="G52" authorId="0">
      <text>
        <r>
          <rPr>
            <sz val="9"/>
            <color indexed="55"/>
            <rFont val="Verdana"/>
            <family val="2"/>
          </rPr>
          <t xml:space="preserve">Game Sound Effects 
</t>
        </r>
        <r>
          <rPr>
            <sz val="9"/>
            <color indexed="9"/>
            <rFont val="Verdana"/>
            <family val="2"/>
          </rPr>
          <t>• Play a sound effect when a game event occurs.
• A game event can be the Ball colliding with a wall, the Paddle scoring a point, or when a winner is declared.
• A sound effect can be played with the Beep function, the MessageBeep function, or the PlaySound function.</t>
        </r>
      </text>
    </comment>
    <comment ref="G53" authorId="0">
      <text>
        <r>
          <rPr>
            <sz val="9"/>
            <color indexed="55"/>
            <rFont val="Verdana"/>
            <family val="2"/>
          </rPr>
          <t xml:space="preserve">Multiple Sound Effects 
</t>
        </r>
        <r>
          <rPr>
            <sz val="9"/>
            <color indexed="9"/>
            <rFont val="Verdana"/>
            <family val="2"/>
          </rPr>
          <t>• Play a second game sound effect using a different sound function or sound file.
• Playing background music will award credit for this goal.</t>
        </r>
      </text>
    </comment>
    <comment ref="G54" authorId="0">
      <text>
        <r>
          <rPr>
            <sz val="9"/>
            <color indexed="11"/>
            <rFont val="Verdana"/>
            <family val="2"/>
          </rPr>
          <t xml:space="preserve">Mute/Unmute 
</t>
        </r>
        <r>
          <rPr>
            <sz val="9"/>
            <color indexed="9"/>
            <rFont val="Verdana"/>
            <family val="2"/>
          </rPr>
          <t>• Provide a menu option and keystroke that will mute and un-mute the game sound effects.</t>
        </r>
      </text>
    </comment>
    <comment ref="G55" authorId="0">
      <text>
        <r>
          <rPr>
            <sz val="9"/>
            <color indexed="11"/>
            <rFont val="Verdana"/>
            <family val="2"/>
          </rPr>
          <t xml:space="preserve">Volume 
</t>
        </r>
        <r>
          <rPr>
            <sz val="9"/>
            <color indexed="9"/>
            <rFont val="Verdana"/>
            <family val="2"/>
          </rPr>
          <t>• Provide a menu option and keystroke that will increase the volume of the game sound effects.
• Provide a menu option and keystroke that will decrease the volume of the game sound effects.</t>
        </r>
      </text>
    </comment>
    <comment ref="G56" authorId="0">
      <text>
        <r>
          <rPr>
            <sz val="9"/>
            <color indexed="30"/>
            <rFont val="Verdana"/>
            <family val="2"/>
          </rPr>
          <t xml:space="preserve">In-Client Volume Control 
</t>
        </r>
        <r>
          <rPr>
            <sz val="9"/>
            <color indexed="9"/>
            <rFont val="Verdana"/>
            <family val="2"/>
          </rPr>
          <t>• Display within the client area of the game window a control that will allow the user to adjust the volume.
• The control can have 2 buttons, 1 for increasing the volume and 1 for decreasing the volume.
• Or the control can have a slider box that will allow the user to pick a volume percentage.</t>
        </r>
      </text>
    </comment>
    <comment ref="G57" authorId="0">
      <text>
        <r>
          <rPr>
            <sz val="9"/>
            <color indexed="11"/>
            <rFont val="Verdana"/>
            <family val="2"/>
          </rPr>
          <t xml:space="preserve">Music Playlist 
</t>
        </r>
        <r>
          <rPr>
            <sz val="9"/>
            <color indexed="9"/>
            <rFont val="Verdana"/>
            <family val="2"/>
          </rPr>
          <t>• Create and utilize a playlist file that will determine the order of background music played throughout the game.</t>
        </r>
      </text>
    </comment>
    <comment ref="G58" authorId="0">
      <text>
        <r>
          <rPr>
            <sz val="9"/>
            <color indexed="30"/>
            <rFont val="Verdana"/>
            <family val="2"/>
          </rPr>
          <t xml:space="preserve">Sound API 
</t>
        </r>
        <r>
          <rPr>
            <sz val="9"/>
            <color indexed="9"/>
            <rFont val="Verdana"/>
            <family val="2"/>
          </rPr>
          <t>• Utilize a Sound API to play sound effects.
• The following are Sound APIs that will give you credit for this goal:
        o FMod
        o DirectX (XAudio2 or DirectSound)
        o OpenAL
        o SDL
        o Wwise</t>
        </r>
      </text>
    </comment>
    <comment ref="G61" authorId="0">
      <text>
        <r>
          <rPr>
            <sz val="9"/>
            <color indexed="55"/>
            <rFont val="Verdana"/>
            <family val="2"/>
          </rPr>
          <t xml:space="preserve">Winner Check 
</t>
        </r>
        <r>
          <rPr>
            <sz val="9"/>
            <color indexed="9"/>
            <rFont val="Verdana"/>
            <family val="2"/>
          </rPr>
          <t>• Once a certain scoring condition is reached, declare a winner.</t>
        </r>
      </text>
    </comment>
    <comment ref="G62" authorId="0">
      <text>
        <r>
          <rPr>
            <sz val="9"/>
            <color indexed="11"/>
            <rFont val="Verdana"/>
            <family val="2"/>
          </rPr>
          <t xml:space="preserve">Multiple Balls 
</t>
        </r>
        <r>
          <rPr>
            <sz val="9"/>
            <color indexed="9"/>
            <rFont val="Verdana"/>
            <family val="2"/>
          </rPr>
          <t>• Implement two or more game components that have the behavior of a Ball.</t>
        </r>
      </text>
    </comment>
    <comment ref="G63" authorId="0">
      <text>
        <r>
          <rPr>
            <sz val="9"/>
            <color indexed="30"/>
            <rFont val="Verdana"/>
            <family val="2"/>
          </rPr>
          <t xml:space="preserve">Multiple Paddles 
</t>
        </r>
        <r>
          <rPr>
            <sz val="9"/>
            <color indexed="9"/>
            <rFont val="Verdana"/>
            <family val="2"/>
          </rPr>
          <t>• Implement three or more game components that have the behavior of a Paddle.
• To be considered a Paddle, the game component must be controllable via input and the game component must accumulate a score.</t>
        </r>
      </text>
    </comment>
    <comment ref="G64" authorId="0">
      <text>
        <r>
          <rPr>
            <sz val="9"/>
            <color indexed="11"/>
            <rFont val="Verdana"/>
            <family val="2"/>
          </rPr>
          <t xml:space="preserve">Power-Ups 
</t>
        </r>
        <r>
          <rPr>
            <sz val="9"/>
            <color indexed="9"/>
            <rFont val="Verdana"/>
            <family val="2"/>
          </rPr>
          <t>• Implement a game component that either helps or hurts the Paddles.</t>
        </r>
      </text>
    </comment>
    <comment ref="G65" authorId="0">
      <text>
        <r>
          <rPr>
            <sz val="9"/>
            <color indexed="11"/>
            <rFont val="Verdana"/>
            <family val="2"/>
          </rPr>
          <t xml:space="preserve">Obstacles 
</t>
        </r>
        <r>
          <rPr>
            <sz val="9"/>
            <color indexed="9"/>
            <rFont val="Verdana"/>
            <family val="2"/>
          </rPr>
          <t>• Implement a game component that will affect the Ball’s velocity or the Paddle’s velocity.</t>
        </r>
      </text>
    </comment>
    <comment ref="G66" authorId="0">
      <text>
        <r>
          <rPr>
            <sz val="9"/>
            <color indexed="11"/>
            <rFont val="Verdana"/>
            <family val="2"/>
          </rPr>
          <t xml:space="preserve">Special Ability 
</t>
        </r>
        <r>
          <rPr>
            <sz val="9"/>
            <color indexed="9"/>
            <rFont val="Verdana"/>
            <family val="2"/>
          </rPr>
          <t>• Implement a special ability that can be performed by a Paddle.
• Provide a key that will invoke the Special Ability.
• Please document the Special Ability within the instructions (if implemented).</t>
        </r>
      </text>
    </comment>
    <comment ref="G67" authorId="0">
      <text>
        <r>
          <rPr>
            <sz val="9"/>
            <color indexed="11"/>
            <rFont val="Verdana"/>
            <family val="2"/>
          </rPr>
          <t xml:space="preserve">Bullet 
</t>
        </r>
        <r>
          <rPr>
            <sz val="9"/>
            <color indexed="9"/>
            <rFont val="Verdana"/>
            <family val="2"/>
          </rPr>
          <t>• Implement a game component that a Paddle can spawn.
• A Bullet can behave like a projectile or like a mine.</t>
        </r>
      </text>
    </comment>
    <comment ref="G68" authorId="0">
      <text>
        <r>
          <rPr>
            <sz val="9"/>
            <color indexed="55"/>
            <rFont val="Verdana"/>
            <family val="2"/>
          </rPr>
          <t xml:space="preserve">Multiple Bullets
</t>
        </r>
        <r>
          <rPr>
            <sz val="9"/>
            <color indexed="9"/>
            <rFont val="Verdana"/>
            <family val="2"/>
          </rPr>
          <t>• Allow the Paddle to spawn 2 or more Bullets at the same time.</t>
        </r>
      </text>
    </comment>
    <comment ref="G69" authorId="0">
      <text>
        <r>
          <rPr>
            <sz val="9"/>
            <color indexed="11"/>
            <rFont val="Verdana"/>
            <family val="2"/>
          </rPr>
          <t xml:space="preserve">Bullet Upgrades 
</t>
        </r>
        <r>
          <rPr>
            <sz val="9"/>
            <color indexed="9"/>
            <rFont val="Verdana"/>
            <family val="2"/>
          </rPr>
          <t>• Implement a more powerful version of the Bullet.
• Being more powerful means it can move faster, have a bigger collision box, split into multiple Bullets, or do greater damage.</t>
        </r>
      </text>
    </comment>
    <comment ref="G70" authorId="0">
      <text>
        <r>
          <rPr>
            <sz val="9"/>
            <color indexed="55"/>
            <rFont val="Verdana"/>
            <family val="2"/>
          </rPr>
          <t xml:space="preserve">Taunting 
</t>
        </r>
        <r>
          <rPr>
            <sz val="9"/>
            <color indexed="9"/>
            <rFont val="Verdana"/>
            <family val="2"/>
          </rPr>
          <t>• Implement a taunting action that can be performed by a Paddle.
• While taunting, input and collision for the Paddle must be disabled.</t>
        </r>
      </text>
    </comment>
    <comment ref="G71" authorId="0">
      <text>
        <r>
          <rPr>
            <sz val="9"/>
            <color indexed="11"/>
            <rFont val="Verdana"/>
            <family val="2"/>
          </rPr>
          <t xml:space="preserve">Jumping 
</t>
        </r>
        <r>
          <rPr>
            <sz val="9"/>
            <color indexed="9"/>
            <rFont val="Verdana"/>
            <family val="2"/>
          </rPr>
          <t>• Implement a jumping action that can be performed by a Paddle.
• Upon reaching the apex of the jump, the Paddle must be pulled back to level ground.</t>
        </r>
      </text>
    </comment>
    <comment ref="G72" authorId="0">
      <text>
        <r>
          <rPr>
            <sz val="9"/>
            <color indexed="30"/>
            <rFont val="Verdana"/>
            <family val="2"/>
          </rPr>
          <t xml:space="preserve">Platforms 
</t>
        </r>
        <r>
          <rPr>
            <sz val="9"/>
            <color indexed="9"/>
            <rFont val="Verdana"/>
            <family val="2"/>
          </rPr>
          <t>• Implement a platform that the Paddle can jump onto and fall off of.</t>
        </r>
      </text>
    </comment>
    <comment ref="G73" authorId="0">
      <text>
        <r>
          <rPr>
            <sz val="9"/>
            <color indexed="11"/>
            <rFont val="Verdana"/>
            <family val="2"/>
          </rPr>
          <t xml:space="preserve">Tracking Artificial Intelligence
</t>
        </r>
        <r>
          <rPr>
            <sz val="9"/>
            <color indexed="9"/>
            <rFont val="Verdana"/>
            <family val="2"/>
          </rPr>
          <t>• Allow the user to enable an AI player that will track the Ball.
• If the Ball is moving up, move the Paddle up and if the Ball is moving down, move the Paddle down.</t>
        </r>
      </text>
    </comment>
    <comment ref="G74" authorId="0">
      <text>
        <r>
          <rPr>
            <sz val="9"/>
            <color indexed="30"/>
            <rFont val="Verdana"/>
            <family val="2"/>
          </rPr>
          <t xml:space="preserve">Efficient Artificial Intelligence 
</t>
        </r>
        <r>
          <rPr>
            <sz val="9"/>
            <color indexed="9"/>
            <rFont val="Verdana"/>
            <family val="2"/>
          </rPr>
          <t>• Allow the user to enable an AI player that will calculate where the Ball is headed.
• Once calculated, move the Paddle to that exact location.
• While this AI mode will be impossible to defeat, it is a great programming exercise.</t>
        </r>
      </text>
    </comment>
    <comment ref="G75" authorId="0">
      <text>
        <r>
          <rPr>
            <sz val="9"/>
            <color indexed="30"/>
            <rFont val="Verdana"/>
            <family val="2"/>
          </rPr>
          <t xml:space="preserve">Boss Artificial Intelligence 
</t>
        </r>
        <r>
          <rPr>
            <sz val="9"/>
            <color indexed="9"/>
            <rFont val="Verdana"/>
            <family val="2"/>
          </rPr>
          <t>• Allow the user to enable an AI player that will use a special ability.</t>
        </r>
      </text>
    </comment>
    <comment ref="G78" authorId="0">
      <text>
        <r>
          <rPr>
            <sz val="9"/>
            <color indexed="55"/>
            <rFont val="Verdana"/>
            <family val="2"/>
          </rPr>
          <t xml:space="preserve">In-Game Contact Info
</t>
        </r>
        <r>
          <rPr>
            <sz val="9"/>
            <color indexed="9"/>
            <rFont val="Verdana"/>
            <family val="2"/>
          </rPr>
          <t>• Allow the user to view your name, email address, or Url so that he or she can compliment you, criticize you, or offer you employment.</t>
        </r>
      </text>
    </comment>
    <comment ref="G81" authorId="0">
      <text>
        <r>
          <rPr>
            <sz val="9"/>
            <color indexed="55"/>
            <rFont val="Verdana"/>
            <family val="2"/>
          </rPr>
          <t xml:space="preserve">String Table Utilization 
</t>
        </r>
        <r>
          <rPr>
            <sz val="9"/>
            <color indexed="9"/>
            <rFont val="Verdana"/>
            <family val="2"/>
          </rPr>
          <t>• Put all strings used throughout the game within the string table.
• Minimum 3 Strings.</t>
        </r>
      </text>
    </comment>
    <comment ref="G82" authorId="0">
      <text>
        <r>
          <rPr>
            <sz val="9"/>
            <color indexed="11"/>
            <rFont val="Verdana"/>
            <family val="2"/>
          </rPr>
          <t xml:space="preserve">Bilingual Support 
</t>
        </r>
        <r>
          <rPr>
            <sz val="9"/>
            <color indexed="9"/>
            <rFont val="Verdana"/>
            <family val="2"/>
          </rPr>
          <t>• Allow the user to select an alternate language.
• All strings displayed to the user must be rendered using that language.
• Menus do not have to be updated but can be with the SetMenu function.</t>
        </r>
      </text>
    </comment>
    <comment ref="G83" authorId="0">
      <text>
        <r>
          <rPr>
            <sz val="9"/>
            <color indexed="48"/>
            <rFont val="Verdana"/>
            <family val="2"/>
          </rPr>
          <t>Full-screen Toggle</t>
        </r>
        <r>
          <rPr>
            <sz val="9"/>
            <color indexed="9"/>
            <rFont val="Verdana"/>
            <family val="2"/>
          </rPr>
          <t xml:space="preserve">
• Allow the user to toggle between Full-screen mode and Windowed mode.
• In Full-screen mode, the title-bar and menu must be removed and the client must cover the entire screen.
• In Windowed mode, the title-bar and menu must be attached and the client will appear within a window frame.
• Do not allow the Ball or Paddles to leave the field of play as a result of a full-screen toggle.</t>
        </r>
      </text>
    </comment>
    <comment ref="G84" authorId="0">
      <text>
        <r>
          <rPr>
            <sz val="9"/>
            <color indexed="30"/>
            <rFont val="Verdana"/>
            <family val="2"/>
          </rPr>
          <t xml:space="preserve">Achievements 
</t>
        </r>
        <r>
          <rPr>
            <sz val="9"/>
            <color indexed="9"/>
            <rFont val="Verdana"/>
            <family val="2"/>
          </rPr>
          <t>• Implement 3 or more achievements that the user can accomplish while playing the game.
• The following is a list of recommended achievements:
      o Defender – Hit the ball 5 times in a 
         row.
      o Victory – Win the game.
      o On Fire – Win 3 games in a row.
      o Domination – Win by shutout 
         (opponent does not score)
      o Like a Boss – Win a game against a
         Boss Mode AI opponent.
• Display which achievements have been accomplished by either checking menu items or within an in-game screen.</t>
        </r>
      </text>
    </comment>
    <comment ref="G85" authorId="0">
      <text>
        <r>
          <rPr>
            <sz val="9"/>
            <color indexed="11"/>
            <rFont val="Verdana"/>
            <family val="2"/>
          </rPr>
          <t xml:space="preserve">Demo Mode 
</t>
        </r>
        <r>
          <rPr>
            <sz val="9"/>
            <color indexed="9"/>
            <rFont val="Verdana"/>
            <family val="2"/>
          </rPr>
          <t>• Implement a mode where all Paddles are controlled by AI.</t>
        </r>
      </text>
    </comment>
    <comment ref="G86" authorId="0">
      <text>
        <r>
          <rPr>
            <sz val="9"/>
            <color indexed="11"/>
            <rFont val="Verdana"/>
            <family val="2"/>
          </rPr>
          <t xml:space="preserve">Pause Mode 
</t>
        </r>
        <r>
          <rPr>
            <sz val="9"/>
            <color indexed="9"/>
            <rFont val="Verdana"/>
            <family val="2"/>
          </rPr>
          <t>• Implement a mode that disables Paddle input and prevents simulation.</t>
        </r>
      </text>
    </comment>
    <comment ref="G87" authorId="0">
      <text>
        <r>
          <rPr>
            <sz val="9"/>
            <color indexed="55"/>
            <rFont val="Verdana"/>
            <family val="2"/>
          </rPr>
          <t xml:space="preserve">Cheat Code (Key Combination) 
</t>
        </r>
        <r>
          <rPr>
            <sz val="9"/>
            <color indexed="9"/>
            <rFont val="Verdana"/>
            <family val="2"/>
          </rPr>
          <t>• Implement a key press combination that invokes a cheat code.</t>
        </r>
      </text>
    </comment>
    <comment ref="G88" authorId="0">
      <text>
        <r>
          <rPr>
            <sz val="9"/>
            <color indexed="11"/>
            <rFont val="Verdana"/>
            <family val="2"/>
          </rPr>
          <t xml:space="preserve">Cheat Code (Press &amp; Hold Key) 
</t>
        </r>
        <r>
          <rPr>
            <sz val="9"/>
            <color indexed="9"/>
            <rFont val="Verdana"/>
            <family val="2"/>
          </rPr>
          <t>• Implement a cheat code that is enabled by pressing and holding a key for 3 or more seconds.</t>
        </r>
      </text>
    </comment>
    <comment ref="G89" authorId="0">
      <text>
        <r>
          <rPr>
            <sz val="9"/>
            <color indexed="11"/>
            <rFont val="Verdana"/>
            <family val="2"/>
          </rPr>
          <t xml:space="preserve">Cheat Code (Sequential Keys) 
</t>
        </r>
        <r>
          <rPr>
            <sz val="9"/>
            <color indexed="9"/>
            <rFont val="Verdana"/>
            <family val="2"/>
          </rPr>
          <t>• Implement a cheat code that is enabled by pressing a sequence of 3 or more keys.
• The sequence must be inputted in the correct order for the cheat code to activate.</t>
        </r>
      </text>
    </comment>
    <comment ref="G90" authorId="0">
      <text>
        <r>
          <rPr>
            <sz val="9"/>
            <color indexed="55"/>
            <rFont val="Verdana"/>
            <family val="2"/>
          </rPr>
          <t xml:space="preserve">Warnings 
</t>
        </r>
        <r>
          <rPr>
            <sz val="9"/>
            <color indexed="9"/>
            <rFont val="Verdana"/>
            <family val="2"/>
          </rPr>
          <t>• Successfully compile your game with the “Warning Level” compiler option set to “Level4 (/W4)” and the
“Treat Warnings As Errors” compiler option set to “Yes (/WX)”.
• To set these options, go to:
Project Properties → C/C++ → General.</t>
        </r>
      </text>
    </comment>
    <comment ref="G91" authorId="0">
      <text>
        <r>
          <rPr>
            <sz val="9"/>
            <color indexed="30"/>
            <rFont val="Verdana"/>
            <family val="2"/>
          </rPr>
          <t xml:space="preserve">Advanced Physics 
</t>
        </r>
        <r>
          <rPr>
            <sz val="9"/>
            <color indexed="9"/>
            <rFont val="Verdana"/>
            <family val="2"/>
          </rPr>
          <t>• Implement a physics system that factors in additional attributes like acceleration, gravity, mass, or torque.</t>
        </r>
      </text>
    </comment>
    <comment ref="G92" authorId="0">
      <text>
        <r>
          <rPr>
            <sz val="9"/>
            <color indexed="30"/>
            <rFont val="Verdana"/>
            <family val="2"/>
          </rPr>
          <t xml:space="preserve">Screen Shot 
</t>
        </r>
        <r>
          <rPr>
            <sz val="9"/>
            <color indexed="9"/>
            <rFont val="Verdana"/>
            <family val="2"/>
          </rPr>
          <t>• Allow the user to press a key that will store the current image on the screen as an image file.</t>
        </r>
      </text>
    </comment>
    <comment ref="G93" authorId="0">
      <text>
        <r>
          <rPr>
            <sz val="9"/>
            <color indexed="30"/>
            <rFont val="Verdana"/>
            <family val="2"/>
          </rPr>
          <t xml:space="preserve">Command Line Parameters 
</t>
        </r>
        <r>
          <rPr>
            <sz val="9"/>
            <color indexed="9"/>
            <rFont val="Verdana"/>
            <family val="2"/>
          </rPr>
          <t>• Allow the user to specify command line parameters.
• To set the command line parameters while developing, go to:
Project Properties → Debugging → Command Arguments.
• The command line parameters can control features like AI, full-screen mode, screen resolution, or starting scores.</t>
        </r>
      </text>
    </comment>
    <comment ref="G94" authorId="0">
      <text>
        <r>
          <rPr>
            <sz val="9"/>
            <color indexed="30"/>
            <rFont val="Verdana"/>
            <family val="2"/>
          </rPr>
          <t xml:space="preserve">In-Client Start Menu 
</t>
        </r>
        <r>
          <rPr>
            <sz val="9"/>
            <color indexed="9"/>
            <rFont val="Verdana"/>
            <family val="2"/>
          </rPr>
          <t>• Upon startup of your project, render a menu within the game client that has 3 or more options.
• The following is a list of recommended menu options:
      o New Game – Starts a new game.
      o Load Game – Loads a previously 
         saved game.
      o AI: On/Off – Toggles the AI 
         opponent on or off.
      o Instructions – Displays the game’s 
         instructions.
      o Credits – Displays the game’s 
         credits.
      o Exit – Quits the game.
• Allow menu options to be selected via mouse or keyboard input.</t>
        </r>
      </text>
    </comment>
    <comment ref="G95" authorId="0">
      <text>
        <r>
          <rPr>
            <sz val="9"/>
            <color indexed="30"/>
            <rFont val="Verdana"/>
            <family val="2"/>
          </rPr>
          <t xml:space="preserve">In-Client Character Selection 
</t>
        </r>
        <r>
          <rPr>
            <sz val="9"/>
            <color indexed="9"/>
            <rFont val="Verdana"/>
            <family val="2"/>
          </rPr>
          <t>• Upon startup of your Pong project, provide an in-game character screen that allows the user to select the graphic that will represent their Paddle throughout the game.</t>
        </r>
      </text>
    </comment>
    <comment ref="G96" authorId="0">
      <text>
        <r>
          <rPr>
            <sz val="9"/>
            <color indexed="14"/>
            <rFont val="Verdana"/>
            <family val="2"/>
          </rPr>
          <t xml:space="preserve">In-Client Talent Tree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Allow the user to pick and choose special abilities that can be used throughout the game.</t>
        </r>
      </text>
    </comment>
    <comment ref="G97" authorId="0">
      <text>
        <r>
          <rPr>
            <sz val="9"/>
            <color indexed="14"/>
            <rFont val="Verdana"/>
            <family val="2"/>
          </rPr>
          <t xml:space="preserve">Movie Playback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Play an intro movie or play a movie as the game’s background.</t>
        </r>
      </text>
    </comment>
    <comment ref="G98" authorId="0">
      <text>
        <r>
          <rPr>
            <sz val="9"/>
            <color indexed="14"/>
            <rFont val="Verdana"/>
            <family val="2"/>
          </rPr>
          <t xml:space="preserve">Instant Replay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Allow the user to watch an instant replay of their point.</t>
        </r>
      </text>
    </comment>
    <comment ref="G99" authorId="0">
      <text>
        <r>
          <rPr>
            <sz val="9"/>
            <color indexed="14"/>
            <rFont val="Verdana"/>
            <family val="2"/>
          </rPr>
          <t xml:space="preserve">In-Client Winner Prompt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 xml:space="preserve">• Rather than displaying the winner message with the MessageBox function, display the winner message within the window’s client area.
• The prompt must include 2 options that can be selected, one option that restarts the game and another that ends the game.
• Selecting an option can be implemented with mouse and/or keyboard input.
</t>
        </r>
      </text>
    </comment>
    <comment ref="G100" authorId="0">
      <text>
        <r>
          <rPr>
            <sz val="9"/>
            <color indexed="52"/>
            <rFont val="Verdana"/>
            <family val="2"/>
          </rPr>
          <t>Networking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 xml:space="preserve">• Enable the ability to play your game over a network. (I don’t recommend trying this but there had to be 1 legendary goal).
</t>
        </r>
      </text>
    </comment>
  </commentList>
</comments>
</file>

<file path=xl/sharedStrings.xml><?xml version="1.0" encoding="utf-8"?>
<sst xmlns="http://schemas.openxmlformats.org/spreadsheetml/2006/main" count="97" uniqueCount="93">
  <si>
    <t>Rubric</t>
  </si>
  <si>
    <t>Fundamental Objectives</t>
  </si>
  <si>
    <t>Value</t>
  </si>
  <si>
    <t>Implemented</t>
  </si>
  <si>
    <t>Score</t>
  </si>
  <si>
    <t>+/-10</t>
  </si>
  <si>
    <t>Scoreboard</t>
  </si>
  <si>
    <t>Graphical Objectives</t>
  </si>
  <si>
    <t>Input Objectives</t>
  </si>
  <si>
    <t>File Menu Objectives</t>
  </si>
  <si>
    <t>Sound Objectives</t>
  </si>
  <si>
    <t>Game Play Objectives</t>
  </si>
  <si>
    <t>Design Objectives</t>
  </si>
  <si>
    <t>Technical Objectives</t>
  </si>
  <si>
    <t>Achievements</t>
  </si>
  <si>
    <t>Course Director Points:</t>
  </si>
  <si>
    <t>Notes</t>
  </si>
  <si>
    <t>Pong</t>
  </si>
  <si>
    <t>Multi-Threading</t>
  </si>
  <si>
    <t>Display Game Components</t>
  </si>
  <si>
    <t>Simple Physics &amp; Collisions</t>
  </si>
  <si>
    <t>Full-screen Toggle</t>
  </si>
  <si>
    <t>Color Selection: Game Components</t>
  </si>
  <si>
    <t>Color Selection: Random</t>
  </si>
  <si>
    <t>Bitmaps: Background</t>
  </si>
  <si>
    <t>Bitmaps: Left Paddle</t>
  </si>
  <si>
    <t>Bitmaps: Right Paddle</t>
  </si>
  <si>
    <t>Bitmaps: Ball</t>
  </si>
  <si>
    <t>Sprite Animation</t>
  </si>
  <si>
    <t>Multiple Sprite Animations</t>
  </si>
  <si>
    <t>Custom Icon &amp; Cursor</t>
  </si>
  <si>
    <t>Particle Effects</t>
  </si>
  <si>
    <t>Multiple Particle Effects</t>
  </si>
  <si>
    <t>Shadows</t>
  </si>
  <si>
    <t>3D Graphics</t>
  </si>
  <si>
    <t>Keyboard Controlled Paddles</t>
  </si>
  <si>
    <t>Mouse Controlled Paddle</t>
  </si>
  <si>
    <t>Joystick Controlled Paddle</t>
  </si>
  <si>
    <t>Multi Mouse/Joystick Controlled Paddles</t>
  </si>
  <si>
    <t>File New</t>
  </si>
  <si>
    <t>Static Saving &amp; Loading</t>
  </si>
  <si>
    <t>Dynamic Saving &amp; Loading</t>
  </si>
  <si>
    <t>Last Chance Saving</t>
  </si>
  <si>
    <t>Title-bar Management</t>
  </si>
  <si>
    <t>Game Sound Effects</t>
  </si>
  <si>
    <t>Sound API</t>
  </si>
  <si>
    <t>Winner Check</t>
  </si>
  <si>
    <t>Power-Ups</t>
  </si>
  <si>
    <t>Obstacles</t>
  </si>
  <si>
    <t>Multiple Balls</t>
  </si>
  <si>
    <t>Special Ability</t>
  </si>
  <si>
    <t>Jumping</t>
  </si>
  <si>
    <t>Taunting</t>
  </si>
  <si>
    <t>Efficient Artificial Intelligence</t>
  </si>
  <si>
    <t>Boss Artificial Intelligence</t>
  </si>
  <si>
    <t>String Table Utilization</t>
  </si>
  <si>
    <t>Demo Mode</t>
  </si>
  <si>
    <t>Pause Mode</t>
  </si>
  <si>
    <t>Cheat Code (Key Combination)</t>
  </si>
  <si>
    <t>Cheat Code (Press &amp; Hold Key)</t>
  </si>
  <si>
    <t>Cheat Code (Sequential Keys)</t>
  </si>
  <si>
    <t>Advanced Physics</t>
  </si>
  <si>
    <t>Screen Shot</t>
  </si>
  <si>
    <t>Command Line Parameters</t>
  </si>
  <si>
    <t>Instant Replay</t>
  </si>
  <si>
    <t>Bitmaps: Scoreboard Tally</t>
  </si>
  <si>
    <t>Bitmap Fonts</t>
  </si>
  <si>
    <t>Percentage Bar</t>
  </si>
  <si>
    <t>Gradient Brush</t>
  </si>
  <si>
    <t>Parallax Background</t>
  </si>
  <si>
    <t>Multiple Sounds Effects</t>
  </si>
  <si>
    <t>Mute/Unmute</t>
  </si>
  <si>
    <t>Volume</t>
  </si>
  <si>
    <t>Music Playlist</t>
  </si>
  <si>
    <t>Multiple Paddles</t>
  </si>
  <si>
    <t>Multiple Bullets</t>
  </si>
  <si>
    <t>Bullet Upgrades</t>
  </si>
  <si>
    <t>Platforms</t>
  </si>
  <si>
    <t>Tracking Artificial Intelligence</t>
  </si>
  <si>
    <t>Bullet</t>
  </si>
  <si>
    <t>Warnings</t>
  </si>
  <si>
    <t>Pong Score:</t>
  </si>
  <si>
    <t>In-Client Title Screen</t>
  </si>
  <si>
    <t>In-Game Instructions</t>
  </si>
  <si>
    <t>In-Client Volume Control</t>
  </si>
  <si>
    <t>In-Game Contact Info</t>
  </si>
  <si>
    <t>In-Client Start Menu</t>
  </si>
  <si>
    <t>In-Client Character Selection</t>
  </si>
  <si>
    <t>In-Client Talent Tree</t>
  </si>
  <si>
    <t>In-Client Winner Prompt</t>
  </si>
  <si>
    <t>Name</t>
  </si>
  <si>
    <t xml:space="preserve"> </t>
  </si>
  <si>
    <t>Weight: 10%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</si>
</sst>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sz val="18"/>
      <color rgb="FF365F91"/>
      <name val="Arial"/>
      <family val="2"/>
    </font>
    <font>
      <b/>
      <sz val="14"/>
      <color theme="1"/>
      <name val="Arial"/>
      <family val="2"/>
    </font>
    <font>
      <b/>
      <sz val="14"/>
      <color rgb="FF1EFF00"/>
      <name val="Arial"/>
      <family val="2"/>
    </font>
    <font>
      <b/>
      <sz val="14"/>
      <color rgb="FF9D9D9D"/>
      <name val="Arial"/>
      <family val="2"/>
    </font>
    <font>
      <b/>
      <sz val="14"/>
      <color rgb="FF0070DD"/>
      <name val="Arial"/>
      <family val="2"/>
    </font>
    <font>
      <b/>
      <sz val="14"/>
      <color rgb="FFA335EE"/>
      <name val="Arial"/>
      <family val="2"/>
    </font>
    <font>
      <sz val="24"/>
      <color rgb="FF365F91"/>
      <name val="Arial"/>
      <family val="2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9"/>
      <color indexed="9"/>
      <name val="Verdana"/>
      <family val="2"/>
    </font>
    <font>
      <sz val="9"/>
      <color indexed="55"/>
      <name val="Verdana"/>
      <family val="2"/>
    </font>
    <font>
      <sz val="9"/>
      <color indexed="11"/>
      <name val="Verdana"/>
      <family val="2"/>
    </font>
    <font>
      <sz val="9"/>
      <color indexed="30"/>
      <name val="Verdana"/>
      <family val="2"/>
    </font>
    <font>
      <sz val="9"/>
      <color indexed="14"/>
      <name val="Verdana"/>
      <family val="2"/>
    </font>
    <font>
      <sz val="9"/>
      <color indexed="48"/>
      <name val="Verdana"/>
      <family val="2"/>
    </font>
    <font>
      <sz val="9"/>
      <color indexed="52"/>
      <name val="Verdana"/>
      <family val="2"/>
    </font>
    <font>
      <b/>
      <sz val="14"/>
      <color theme="9" tint="-0.249977111117893"/>
      <name val="Arial"/>
      <family val="2"/>
    </font>
    <font>
      <sz val="16"/>
      <color theme="1"/>
      <name val="Lucida Console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 style="medium">
        <color auto="1"/>
      </left>
      <right style="medium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/>
      <diagonal/>
    </border>
    <border>
      <left style="thick">
        <color theme="3" tint="0.39988402966399123"/>
      </left>
      <right/>
      <top/>
      <bottom/>
      <diagonal/>
    </border>
    <border>
      <left style="thick">
        <color theme="3" tint="0.39988402966399123"/>
      </left>
      <right/>
      <top style="thick">
        <color theme="3" tint="0.39985351115451523"/>
      </top>
      <bottom/>
      <diagonal/>
    </border>
    <border>
      <left/>
      <right/>
      <top style="thick">
        <color theme="3" tint="0.39985351115451523"/>
      </top>
      <bottom/>
      <diagonal/>
    </border>
    <border>
      <left style="thick">
        <color theme="3" tint="0.39991454817346722"/>
      </left>
      <right/>
      <top/>
      <bottom/>
      <diagonal/>
    </border>
    <border>
      <left/>
      <right style="thick">
        <color theme="3" tint="0.39982299264503923"/>
      </right>
      <top style="thick">
        <color theme="3" tint="0.39985351115451523"/>
      </top>
      <bottom/>
      <diagonal/>
    </border>
    <border>
      <left/>
      <right style="thick">
        <color theme="3" tint="0.39982299264503923"/>
      </right>
      <top/>
      <bottom/>
      <diagonal/>
    </border>
    <border>
      <left style="medium">
        <color auto="1"/>
      </left>
      <right style="thick">
        <color theme="3" tint="0.39982299264503923"/>
      </right>
      <top/>
      <bottom/>
      <diagonal/>
    </border>
    <border>
      <left style="medium">
        <color auto="1"/>
      </left>
      <right style="thick">
        <color theme="3" tint="0.39982299264503923"/>
      </right>
      <top/>
      <bottom style="dotted">
        <color auto="1"/>
      </bottom>
      <diagonal/>
    </border>
    <border>
      <left style="medium">
        <color auto="1"/>
      </left>
      <right style="thick">
        <color theme="3" tint="0.39982299264503923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thick">
        <color theme="3" tint="0.39982299264503923"/>
      </right>
      <top style="dotted">
        <color auto="1"/>
      </top>
      <bottom/>
      <diagonal/>
    </border>
    <border>
      <left/>
      <right/>
      <top/>
      <bottom style="mediumDashed">
        <color auto="1"/>
      </bottom>
      <diagonal/>
    </border>
    <border>
      <left/>
      <right/>
      <top/>
      <bottom style="thick">
        <color theme="3" tint="0.39988402966399123"/>
      </bottom>
      <diagonal/>
    </border>
    <border>
      <left style="thick">
        <color theme="3" tint="0.39985351115451523"/>
      </left>
      <right/>
      <top/>
      <bottom/>
      <diagonal/>
    </border>
    <border>
      <left/>
      <right style="thick">
        <color theme="3" tint="0.39985351115451523"/>
      </right>
      <top/>
      <bottom/>
      <diagonal/>
    </border>
    <border>
      <left style="thick">
        <color theme="3" tint="0.39985351115451523"/>
      </left>
      <right/>
      <top/>
      <bottom style="thick">
        <color theme="3" tint="0.39988402966399123"/>
      </bottom>
      <diagonal/>
    </border>
    <border>
      <left/>
      <right style="thick">
        <color theme="3" tint="0.39985351115451523"/>
      </right>
      <top/>
      <bottom style="thick">
        <color theme="3" tint="0.39988402966399123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2" borderId="0" xfId="0" applyFill="1"/>
    <xf numFmtId="0" fontId="0" fillId="2" borderId="0" xfId="0" applyFill="1" applyProtection="1"/>
    <xf numFmtId="0" fontId="8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/>
    <xf numFmtId="0" fontId="0" fillId="2" borderId="2" xfId="0" applyFill="1" applyBorder="1" applyAlignment="1" applyProtection="1"/>
    <xf numFmtId="49" fontId="0" fillId="2" borderId="3" xfId="0" applyNumberFormat="1" applyFill="1" applyBorder="1" applyAlignment="1" applyProtection="1">
      <alignment horizontal="center"/>
    </xf>
    <xf numFmtId="0" fontId="3" fillId="2" borderId="4" xfId="0" applyFont="1" applyFill="1" applyBorder="1" applyAlignment="1" applyProtection="1"/>
    <xf numFmtId="0" fontId="0" fillId="2" borderId="4" xfId="0" applyFill="1" applyBorder="1" applyAlignment="1" applyProtection="1"/>
    <xf numFmtId="0" fontId="0" fillId="2" borderId="1" xfId="0" applyFill="1" applyBorder="1" applyProtection="1"/>
    <xf numFmtId="0" fontId="0" fillId="2" borderId="1" xfId="0" applyFill="1" applyBorder="1" applyAlignment="1" applyProtection="1">
      <alignment horizontal="center"/>
    </xf>
    <xf numFmtId="0" fontId="4" fillId="2" borderId="2" xfId="0" applyFont="1" applyFill="1" applyBorder="1" applyProtection="1"/>
    <xf numFmtId="0" fontId="0" fillId="2" borderId="2" xfId="0" applyFill="1" applyBorder="1" applyProtection="1"/>
    <xf numFmtId="0" fontId="0" fillId="2" borderId="3" xfId="0" applyFill="1" applyBorder="1" applyAlignment="1" applyProtection="1">
      <alignment horizontal="center"/>
    </xf>
    <xf numFmtId="0" fontId="4" fillId="2" borderId="4" xfId="0" applyFont="1" applyFill="1" applyBorder="1" applyProtection="1"/>
    <xf numFmtId="0" fontId="0" fillId="2" borderId="4" xfId="0" applyFill="1" applyBorder="1" applyProtection="1"/>
    <xf numFmtId="0" fontId="0" fillId="2" borderId="5" xfId="0" applyFill="1" applyBorder="1" applyAlignment="1" applyProtection="1">
      <alignment horizontal="center"/>
    </xf>
    <xf numFmtId="0" fontId="5" fillId="2" borderId="4" xfId="0" applyFont="1" applyFill="1" applyBorder="1" applyProtection="1"/>
    <xf numFmtId="0" fontId="6" fillId="2" borderId="4" xfId="0" applyFont="1" applyFill="1" applyBorder="1" applyProtection="1"/>
    <xf numFmtId="0" fontId="5" fillId="2" borderId="2" xfId="0" applyFont="1" applyFill="1" applyBorder="1" applyProtection="1"/>
    <xf numFmtId="0" fontId="7" fillId="2" borderId="4" xfId="0" applyFont="1" applyFill="1" applyBorder="1" applyProtection="1"/>
    <xf numFmtId="0" fontId="0" fillId="3" borderId="0" xfId="0" applyFill="1" applyProtection="1"/>
    <xf numFmtId="0" fontId="0" fillId="2" borderId="6" xfId="0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2" borderId="7" xfId="0" applyFill="1" applyBorder="1" applyProtection="1"/>
    <xf numFmtId="0" fontId="2" fillId="2" borderId="7" xfId="0" applyFont="1" applyFill="1" applyBorder="1" applyProtection="1"/>
    <xf numFmtId="0" fontId="0" fillId="0" borderId="7" xfId="0" applyBorder="1"/>
    <xf numFmtId="0" fontId="0" fillId="2" borderId="8" xfId="0" applyFill="1" applyBorder="1" applyProtection="1"/>
    <xf numFmtId="0" fontId="0" fillId="2" borderId="9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0" fontId="1" fillId="2" borderId="9" xfId="0" applyFont="1" applyFill="1" applyBorder="1" applyAlignment="1" applyProtection="1">
      <alignment horizontal="right"/>
    </xf>
    <xf numFmtId="0" fontId="0" fillId="4" borderId="0" xfId="0" applyFill="1"/>
    <xf numFmtId="0" fontId="10" fillId="4" borderId="0" xfId="0" applyFont="1" applyFill="1"/>
    <xf numFmtId="0" fontId="10" fillId="4" borderId="0" xfId="0" applyFont="1" applyFill="1" applyProtection="1">
      <protection locked="0"/>
    </xf>
    <xf numFmtId="0" fontId="0" fillId="2" borderId="10" xfId="0" applyFill="1" applyBorder="1" applyProtection="1"/>
    <xf numFmtId="0" fontId="9" fillId="2" borderId="11" xfId="0" applyFont="1" applyFill="1" applyBorder="1" applyProtection="1"/>
    <xf numFmtId="0" fontId="9" fillId="2" borderId="12" xfId="0" applyFont="1" applyFill="1" applyBorder="1" applyProtection="1"/>
    <xf numFmtId="0" fontId="2" fillId="2" borderId="13" xfId="0" applyFont="1" applyFill="1" applyBorder="1" applyAlignment="1" applyProtection="1">
      <alignment horizontal="left"/>
    </xf>
    <xf numFmtId="0" fontId="0" fillId="2" borderId="12" xfId="0" applyFill="1" applyBorder="1"/>
    <xf numFmtId="0" fontId="11" fillId="2" borderId="14" xfId="0" applyFont="1" applyFill="1" applyBorder="1" applyProtection="1">
      <protection locked="0"/>
    </xf>
    <xf numFmtId="0" fontId="11" fillId="2" borderId="15" xfId="0" applyFont="1" applyFill="1" applyBorder="1" applyProtection="1">
      <protection locked="0"/>
    </xf>
    <xf numFmtId="0" fontId="11" fillId="2" borderId="16" xfId="0" applyFont="1" applyFill="1" applyBorder="1" applyProtection="1">
      <protection locked="0"/>
    </xf>
    <xf numFmtId="0" fontId="11" fillId="2" borderId="13" xfId="0" applyFont="1" applyFill="1" applyBorder="1" applyProtection="1">
      <protection locked="0"/>
    </xf>
    <xf numFmtId="0" fontId="0" fillId="2" borderId="0" xfId="0" applyFill="1" applyBorder="1" applyProtection="1"/>
    <xf numFmtId="0" fontId="0" fillId="3" borderId="0" xfId="0" applyFill="1" applyBorder="1" applyProtection="1"/>
    <xf numFmtId="0" fontId="2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center"/>
    </xf>
    <xf numFmtId="0" fontId="0" fillId="0" borderId="12" xfId="0" applyFill="1" applyBorder="1"/>
    <xf numFmtId="0" fontId="19" fillId="2" borderId="4" xfId="0" applyFont="1" applyFill="1" applyBorder="1" applyProtection="1"/>
    <xf numFmtId="0" fontId="9" fillId="2" borderId="3" xfId="0" applyFont="1" applyFill="1" applyBorder="1" applyAlignment="1" applyProtection="1">
      <alignment horizontal="left"/>
      <protection locked="0"/>
    </xf>
    <xf numFmtId="0" fontId="9" fillId="2" borderId="5" xfId="0" applyFont="1" applyFill="1" applyBorder="1" applyAlignment="1" applyProtection="1">
      <alignment horizontal="left"/>
      <protection locked="0"/>
    </xf>
    <xf numFmtId="0" fontId="9" fillId="2" borderId="1" xfId="0" applyFont="1" applyFill="1" applyBorder="1" applyAlignment="1" applyProtection="1">
      <alignment horizontal="left"/>
      <protection locked="0"/>
    </xf>
    <xf numFmtId="0" fontId="20" fillId="2" borderId="0" xfId="0" applyFont="1" applyFill="1" applyAlignment="1" applyProtection="1">
      <alignment horizontal="center"/>
      <protection locked="0"/>
    </xf>
    <xf numFmtId="0" fontId="20" fillId="2" borderId="17" xfId="0" applyFont="1" applyFill="1" applyBorder="1" applyAlignment="1" applyProtection="1">
      <alignment horizontal="center"/>
      <protection locked="0"/>
    </xf>
    <xf numFmtId="0" fontId="0" fillId="2" borderId="19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99"/>
      <color rgb="FFDAFA1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M$9" lockText="1" noThreeD="1"/>
</file>

<file path=xl/ctrlProps/ctrlProp3.xml><?xml version="1.0" encoding="utf-8"?>
<formControlPr xmlns="http://schemas.microsoft.com/office/spreadsheetml/2009/9/main" objectType="CheckBox" checked="Checked" fmlaLink="$M$10" lockText="1" noThreeD="1"/>
</file>

<file path=xl/ctrlProps/ctrlProp4.xml><?xml version="1.0" encoding="utf-8"?>
<formControlPr xmlns="http://schemas.microsoft.com/office/spreadsheetml/2009/9/main" objectType="CheckBox" checked="Checked" fmlaLink="$M$11" lockText="1" noThreeD="1"/>
</file>

<file path=xl/ctrlProps/ctrlProp5.xml><?xml version="1.0" encoding="utf-8"?>
<formControlPr xmlns="http://schemas.microsoft.com/office/spreadsheetml/2009/9/main" objectType="CheckBox" checked="Checked" fmlaLink="$M$12" lockText="1" noThreeD="1"/>
</file>

<file path=xl/ctrlProps/ctrlProp6.xml><?xml version="1.0" encoding="utf-8"?>
<formControlPr xmlns="http://schemas.microsoft.com/office/spreadsheetml/2009/9/main" objectType="CheckBox" checked="Checked" fmlaLink="$M$13" lockText="1" noThreeD="1"/>
</file>

<file path=xl/ctrlProps/ctrlProp7.xml><?xml version="1.0" encoding="utf-8"?>
<formControlPr xmlns="http://schemas.microsoft.com/office/spreadsheetml/2009/9/main" objectType="CheckBox" checked="Checked" fmlaLink="$M$16" lockText="1" noThreeD="1"/>
</file>

<file path=xl/ctrlProps/ctrlProp8.xml><?xml version="1.0" encoding="utf-8"?>
<formControlPr xmlns="http://schemas.microsoft.com/office/spreadsheetml/2009/9/main" objectType="CheckBox" checked="Checked" fmlaLink="$M$17" lockText="1" noThreeD="1"/>
</file>

<file path=xl/ctrlProps/ctrlProp9.xml><?xml version="1.0" encoding="utf-8"?>
<formControlPr xmlns="http://schemas.microsoft.com/office/spreadsheetml/2009/9/main" objectType="CheckBox" checked="Checked" fmlaLink="$M$18" lockText="1" noThreeD="1"/>
</file>

<file path=xl/ctrlProps/ctrlProp10.xml><?xml version="1.0" encoding="utf-8"?>
<formControlPr xmlns="http://schemas.microsoft.com/office/spreadsheetml/2009/9/main" objectType="CheckBox" checked="Checked" fmlaLink="$M$19" lockText="1" noThreeD="1"/>
</file>

<file path=xl/ctrlProps/ctrlProp11.xml><?xml version="1.0" encoding="utf-8"?>
<formControlPr xmlns="http://schemas.microsoft.com/office/spreadsheetml/2009/9/main" objectType="CheckBox" checked="Checked" fmlaLink="$M$20" lockText="1" noThreeD="1"/>
</file>

<file path=xl/ctrlProps/ctrlProp12.xml><?xml version="1.0" encoding="utf-8"?>
<formControlPr xmlns="http://schemas.microsoft.com/office/spreadsheetml/2009/9/main" objectType="CheckBox" checked="Checked" fmlaLink="$M$21" lockText="1" noThreeD="1"/>
</file>

<file path=xl/ctrlProps/ctrlProp13.xml><?xml version="1.0" encoding="utf-8"?>
<formControlPr xmlns="http://schemas.microsoft.com/office/spreadsheetml/2009/9/main" objectType="CheckBox" fmlaLink="$M$22" lockText="1" noThreeD="1"/>
</file>

<file path=xl/ctrlProps/ctrlProp14.xml><?xml version="1.0" encoding="utf-8"?>
<formControlPr xmlns="http://schemas.microsoft.com/office/spreadsheetml/2009/9/main" objectType="CheckBox" checked="Checked" fmlaLink="$M$23" lockText="1" noThreeD="1"/>
</file>

<file path=xl/ctrlProps/ctrlProp15.xml><?xml version="1.0" encoding="utf-8"?>
<formControlPr xmlns="http://schemas.microsoft.com/office/spreadsheetml/2009/9/main" objectType="CheckBox" checked="Checked" fmlaLink="$M$24" lockText="1" noThreeD="1"/>
</file>

<file path=xl/ctrlProps/ctrlProp16.xml><?xml version="1.0" encoding="utf-8"?>
<formControlPr xmlns="http://schemas.microsoft.com/office/spreadsheetml/2009/9/main" objectType="CheckBox" checked="Checked" fmlaLink="$M$25" lockText="1" noThreeD="1"/>
</file>

<file path=xl/ctrlProps/ctrlProp17.xml><?xml version="1.0" encoding="utf-8"?>
<formControlPr xmlns="http://schemas.microsoft.com/office/spreadsheetml/2009/9/main" objectType="CheckBox" checked="Checked" fmlaLink="$M$26" lockText="1" noThreeD="1"/>
</file>

<file path=xl/ctrlProps/ctrlProp18.xml><?xml version="1.0" encoding="utf-8"?>
<formControlPr xmlns="http://schemas.microsoft.com/office/spreadsheetml/2009/9/main" objectType="CheckBox" checked="Checked" fmlaLink="$M$27" lockText="1" noThreeD="1"/>
</file>

<file path=xl/ctrlProps/ctrlProp19.xml><?xml version="1.0" encoding="utf-8"?>
<formControlPr xmlns="http://schemas.microsoft.com/office/spreadsheetml/2009/9/main" objectType="CheckBox" checked="Checked" fmlaLink="$M$28" lockText="1" noThreeD="1"/>
</file>

<file path=xl/ctrlProps/ctrlProp20.xml><?xml version="1.0" encoding="utf-8"?>
<formControlPr xmlns="http://schemas.microsoft.com/office/spreadsheetml/2009/9/main" objectType="CheckBox" checked="Checked" fmlaLink="$M$29" lockText="1" noThreeD="1"/>
</file>

<file path=xl/ctrlProps/ctrlProp21.xml><?xml version="1.0" encoding="utf-8"?>
<formControlPr xmlns="http://schemas.microsoft.com/office/spreadsheetml/2009/9/main" objectType="CheckBox" checked="Checked" fmlaLink="$M$30" lockText="1" noThreeD="1"/>
</file>

<file path=xl/ctrlProps/ctrlProp22.xml><?xml version="1.0" encoding="utf-8"?>
<formControlPr xmlns="http://schemas.microsoft.com/office/spreadsheetml/2009/9/main" objectType="CheckBox" checked="Checked" fmlaLink="$M$31" lockText="1" noThreeD="1"/>
</file>

<file path=xl/ctrlProps/ctrlProp23.xml><?xml version="1.0" encoding="utf-8"?>
<formControlPr xmlns="http://schemas.microsoft.com/office/spreadsheetml/2009/9/main" objectType="CheckBox" checked="Checked" fmlaLink="$M$37" lockText="1" noThreeD="1"/>
</file>

<file path=xl/ctrlProps/ctrlProp24.xml><?xml version="1.0" encoding="utf-8"?>
<formControlPr xmlns="http://schemas.microsoft.com/office/spreadsheetml/2009/9/main" objectType="CheckBox" fmlaLink="$M$38" lockText="1" noThreeD="1"/>
</file>

<file path=xl/ctrlProps/ctrlProp25.xml><?xml version="1.0" encoding="utf-8"?>
<formControlPr xmlns="http://schemas.microsoft.com/office/spreadsheetml/2009/9/main" objectType="CheckBox" checked="Checked" fmlaLink="$M$39" lockText="1" noThreeD="1"/>
</file>

<file path=xl/ctrlProps/ctrlProp26.xml><?xml version="1.0" encoding="utf-8"?>
<formControlPr xmlns="http://schemas.microsoft.com/office/spreadsheetml/2009/9/main" objectType="CheckBox" checked="Checked" fmlaLink="$M$45" lockText="1" noThreeD="1"/>
</file>

<file path=xl/ctrlProps/ctrlProp27.xml><?xml version="1.0" encoding="utf-8"?>
<formControlPr xmlns="http://schemas.microsoft.com/office/spreadsheetml/2009/9/main" objectType="CheckBox" fmlaLink="$M$46" lockText="1" noThreeD="1"/>
</file>

<file path=xl/ctrlProps/ctrlProp28.xml><?xml version="1.0" encoding="utf-8"?>
<formControlPr xmlns="http://schemas.microsoft.com/office/spreadsheetml/2009/9/main" objectType="CheckBox" checked="Checked" fmlaLink="$M$52" lockText="1" noThreeD="1"/>
</file>

<file path=xl/ctrlProps/ctrlProp29.xml><?xml version="1.0" encoding="utf-8"?>
<formControlPr xmlns="http://schemas.microsoft.com/office/spreadsheetml/2009/9/main" objectType="CheckBox" checked="Checked" fmlaLink="$M$53" lockText="1" noThreeD="1"/>
</file>

<file path=xl/ctrlProps/ctrlProp30.xml><?xml version="1.0" encoding="utf-8"?>
<formControlPr xmlns="http://schemas.microsoft.com/office/spreadsheetml/2009/9/main" objectType="CheckBox" checked="Checked" fmlaLink="$M$61" lockText="1" noThreeD="1"/>
</file>

<file path=xl/ctrlProps/ctrlProp31.xml><?xml version="1.0" encoding="utf-8"?>
<formControlPr xmlns="http://schemas.microsoft.com/office/spreadsheetml/2009/9/main" objectType="CheckBox" fmlaLink="$M$62" lockText="1" noThreeD="1"/>
</file>

<file path=xl/ctrlProps/ctrlProp32.xml><?xml version="1.0" encoding="utf-8"?>
<formControlPr xmlns="http://schemas.microsoft.com/office/spreadsheetml/2009/9/main" objectType="CheckBox" fmlaLink="$M$63" lockText="1" noThreeD="1"/>
</file>

<file path=xl/ctrlProps/ctrlProp33.xml><?xml version="1.0" encoding="utf-8"?>
<formControlPr xmlns="http://schemas.microsoft.com/office/spreadsheetml/2009/9/main" objectType="CheckBox" fmlaLink="$M$64" lockText="1" noThreeD="1"/>
</file>

<file path=xl/ctrlProps/ctrlProp34.xml><?xml version="1.0" encoding="utf-8"?>
<formControlPr xmlns="http://schemas.microsoft.com/office/spreadsheetml/2009/9/main" objectType="CheckBox" fmlaLink="$M$65" lockText="1" noThreeD="1"/>
</file>

<file path=xl/ctrlProps/ctrlProp35.xml><?xml version="1.0" encoding="utf-8"?>
<formControlPr xmlns="http://schemas.microsoft.com/office/spreadsheetml/2009/9/main" objectType="CheckBox" checked="Checked" fmlaLink="$M$66" lockText="1" noThreeD="1"/>
</file>

<file path=xl/ctrlProps/ctrlProp36.xml><?xml version="1.0" encoding="utf-8"?>
<formControlPr xmlns="http://schemas.microsoft.com/office/spreadsheetml/2009/9/main" objectType="CheckBox" checked="Checked" fmlaLink="$M$67" lockText="1" noThreeD="1"/>
</file>

<file path=xl/ctrlProps/ctrlProp37.xml><?xml version="1.0" encoding="utf-8"?>
<formControlPr xmlns="http://schemas.microsoft.com/office/spreadsheetml/2009/9/main" objectType="CheckBox" checked="Checked" fmlaLink="$M$81" lockText="1" noThreeD="1"/>
</file>

<file path=xl/ctrlProps/ctrlProp38.xml><?xml version="1.0" encoding="utf-8"?>
<formControlPr xmlns="http://schemas.microsoft.com/office/spreadsheetml/2009/9/main" objectType="CheckBox" fmlaLink="$M$84" lockText="1" noThreeD="1"/>
</file>

<file path=xl/ctrlProps/ctrlProp39.xml><?xml version="1.0" encoding="utf-8"?>
<formControlPr xmlns="http://schemas.microsoft.com/office/spreadsheetml/2009/9/main" objectType="CheckBox" fmlaLink="$M$85" lockText="1" noThreeD="1"/>
</file>

<file path=xl/ctrlProps/ctrlProp40.xml><?xml version="1.0" encoding="utf-8"?>
<formControlPr xmlns="http://schemas.microsoft.com/office/spreadsheetml/2009/9/main" objectType="CheckBox" checked="Checked" fmlaLink="$M$86" lockText="1" noThreeD="1"/>
</file>

<file path=xl/ctrlProps/ctrlProp41.xml><?xml version="1.0" encoding="utf-8"?>
<formControlPr xmlns="http://schemas.microsoft.com/office/spreadsheetml/2009/9/main" objectType="CheckBox" fmlaLink="$M$87" lockText="1" noThreeD="1"/>
</file>

<file path=xl/ctrlProps/ctrlProp42.xml><?xml version="1.0" encoding="utf-8"?>
<formControlPr xmlns="http://schemas.microsoft.com/office/spreadsheetml/2009/9/main" objectType="CheckBox" fmlaLink="$M$88" lockText="1" noThreeD="1"/>
</file>

<file path=xl/ctrlProps/ctrlProp43.xml><?xml version="1.0" encoding="utf-8"?>
<formControlPr xmlns="http://schemas.microsoft.com/office/spreadsheetml/2009/9/main" objectType="CheckBox" fmlaLink="$M$89" lockText="1" noThreeD="1"/>
</file>

<file path=xl/ctrlProps/ctrlProp44.xml><?xml version="1.0" encoding="utf-8"?>
<formControlPr xmlns="http://schemas.microsoft.com/office/spreadsheetml/2009/9/main" objectType="CheckBox" fmlaLink="$M$96" lockText="1" noThreeD="1"/>
</file>

<file path=xl/ctrlProps/ctrlProp45.xml><?xml version="1.0" encoding="utf-8"?>
<formControlPr xmlns="http://schemas.microsoft.com/office/spreadsheetml/2009/9/main" objectType="CheckBox" fmlaLink="$M$95" lockText="1" noThreeD="1"/>
</file>

<file path=xl/ctrlProps/ctrlProp46.xml><?xml version="1.0" encoding="utf-8"?>
<formControlPr xmlns="http://schemas.microsoft.com/office/spreadsheetml/2009/9/main" objectType="CheckBox" fmlaLink="$M$94" lockText="1" noThreeD="1"/>
</file>

<file path=xl/ctrlProps/ctrlProp47.xml><?xml version="1.0" encoding="utf-8"?>
<formControlPr xmlns="http://schemas.microsoft.com/office/spreadsheetml/2009/9/main" objectType="CheckBox" fmlaLink="$M$93" lockText="1" noThreeD="1"/>
</file>

<file path=xl/ctrlProps/ctrlProp48.xml><?xml version="1.0" encoding="utf-8"?>
<formControlPr xmlns="http://schemas.microsoft.com/office/spreadsheetml/2009/9/main" objectType="CheckBox" fmlaLink="$M$92" lockText="1" noThreeD="1"/>
</file>

<file path=xl/ctrlProps/ctrlProp49.xml><?xml version="1.0" encoding="utf-8"?>
<formControlPr xmlns="http://schemas.microsoft.com/office/spreadsheetml/2009/9/main" objectType="CheckBox" fmlaLink="$M$91" lockText="1" noThreeD="1"/>
</file>

<file path=xl/ctrlProps/ctrlProp50.xml><?xml version="1.0" encoding="utf-8"?>
<formControlPr xmlns="http://schemas.microsoft.com/office/spreadsheetml/2009/9/main" objectType="CheckBox" checked="Checked" fmlaLink="$M$90" lockText="1" noThreeD="1"/>
</file>

<file path=xl/ctrlProps/ctrlProp51.xml><?xml version="1.0" encoding="utf-8"?>
<formControlPr xmlns="http://schemas.microsoft.com/office/spreadsheetml/2009/9/main" objectType="CheckBox" fmlaLink="$M$72" lockText="1" noThreeD="1"/>
</file>

<file path=xl/ctrlProps/ctrlProp52.xml><?xml version="1.0" encoding="utf-8"?>
<formControlPr xmlns="http://schemas.microsoft.com/office/spreadsheetml/2009/9/main" objectType="CheckBox" fmlaLink="$M$71" lockText="1" noThreeD="1"/>
</file>

<file path=xl/ctrlProps/ctrlProp53.xml><?xml version="1.0" encoding="utf-8"?>
<formControlPr xmlns="http://schemas.microsoft.com/office/spreadsheetml/2009/9/main" objectType="CheckBox" checked="Checked" fmlaLink="$M$69" lockText="1" noThreeD="1"/>
</file>

<file path=xl/ctrlProps/ctrlProp54.xml><?xml version="1.0" encoding="utf-8"?>
<formControlPr xmlns="http://schemas.microsoft.com/office/spreadsheetml/2009/9/main" objectType="CheckBox" checked="Checked" fmlaLink="$M$68" lockText="1" noThreeD="1"/>
</file>

<file path=xl/ctrlProps/ctrlProp55.xml><?xml version="1.0" encoding="utf-8"?>
<formControlPr xmlns="http://schemas.microsoft.com/office/spreadsheetml/2009/9/main" objectType="CheckBox" checked="Checked" fmlaLink="$M$55" lockText="1" noThreeD="1"/>
</file>

<file path=xl/ctrlProps/ctrlProp56.xml><?xml version="1.0" encoding="utf-8"?>
<formControlPr xmlns="http://schemas.microsoft.com/office/spreadsheetml/2009/9/main" objectType="CheckBox" fmlaLink="$M$54" lockText="1" noThreeD="1"/>
</file>

<file path=xl/ctrlProps/ctrlProp57.xml><?xml version="1.0" encoding="utf-8"?>
<formControlPr xmlns="http://schemas.microsoft.com/office/spreadsheetml/2009/9/main" objectType="CheckBox" fmlaLink="$M$48" lockText="1" noThreeD="1"/>
</file>

<file path=xl/ctrlProps/ctrlProp58.xml><?xml version="1.0" encoding="utf-8"?>
<formControlPr xmlns="http://schemas.microsoft.com/office/spreadsheetml/2009/9/main" objectType="CheckBox" fmlaLink="$M$47" lockText="1" noThreeD="1"/>
</file>

<file path=xl/ctrlProps/ctrlProp59.xml><?xml version="1.0" encoding="utf-8"?>
<formControlPr xmlns="http://schemas.microsoft.com/office/spreadsheetml/2009/9/main" objectType="CheckBox" fmlaLink="$M$33" lockText="1" noThreeD="1"/>
</file>

<file path=xl/ctrlProps/ctrlProp60.xml><?xml version="1.0" encoding="utf-8"?>
<formControlPr xmlns="http://schemas.microsoft.com/office/spreadsheetml/2009/9/main" objectType="CheckBox" checked="Checked" fmlaLink="$M$32" lockText="1" noThreeD="1"/>
</file>

<file path=xl/ctrlProps/ctrlProp61.xml><?xml version="1.0" encoding="utf-8"?>
<formControlPr xmlns="http://schemas.microsoft.com/office/spreadsheetml/2009/9/main" objectType="CheckBox" checked="Checked" fmlaLink="$M$34" lockText="1" noThreeD="1"/>
</file>

<file path=xl/ctrlProps/ctrlProp62.xml><?xml version="1.0" encoding="utf-8"?>
<formControlPr xmlns="http://schemas.microsoft.com/office/spreadsheetml/2009/9/main" objectType="CheckBox" checked="Checked" fmlaLink="$M$42" lockText="1" noThreeD="1"/>
</file>

<file path=xl/ctrlProps/ctrlProp63.xml><?xml version="1.0" encoding="utf-8"?>
<formControlPr xmlns="http://schemas.microsoft.com/office/spreadsheetml/2009/9/main" objectType="CheckBox" fmlaLink="$M$49" lockText="1" noThreeD="1"/>
</file>

<file path=xl/ctrlProps/ctrlProp64.xml><?xml version="1.0" encoding="utf-8"?>
<formControlPr xmlns="http://schemas.microsoft.com/office/spreadsheetml/2009/9/main" objectType="CheckBox" fmlaLink="$M$56" lockText="1" noThreeD="1"/>
</file>

<file path=xl/ctrlProps/ctrlProp65.xml><?xml version="1.0" encoding="utf-8"?>
<formControlPr xmlns="http://schemas.microsoft.com/office/spreadsheetml/2009/9/main" objectType="CheckBox" fmlaLink="$M$57" lockText="1" noThreeD="1"/>
</file>

<file path=xl/ctrlProps/ctrlProp66.xml><?xml version="1.0" encoding="utf-8"?>
<formControlPr xmlns="http://schemas.microsoft.com/office/spreadsheetml/2009/9/main" objectType="CheckBox" checked="Checked" fmlaLink="$M$58" lockText="1" noThreeD="1"/>
</file>

<file path=xl/ctrlProps/ctrlProp67.xml><?xml version="1.0" encoding="utf-8"?>
<formControlPr xmlns="http://schemas.microsoft.com/office/spreadsheetml/2009/9/main" objectType="CheckBox" fmlaLink="$M$73" lockText="1" noThreeD="1"/>
</file>

<file path=xl/ctrlProps/ctrlProp68.xml><?xml version="1.0" encoding="utf-8"?>
<formControlPr xmlns="http://schemas.microsoft.com/office/spreadsheetml/2009/9/main" objectType="CheckBox" fmlaLink="$M$74" lockText="1" noThreeD="1"/>
</file>

<file path=xl/ctrlProps/ctrlProp69.xml><?xml version="1.0" encoding="utf-8"?>
<formControlPr xmlns="http://schemas.microsoft.com/office/spreadsheetml/2009/9/main" objectType="CheckBox" fmlaLink="$M$75" lockText="1" noThreeD="1"/>
</file>

<file path=xl/ctrlProps/ctrlProp70.xml><?xml version="1.0" encoding="utf-8"?>
<formControlPr xmlns="http://schemas.microsoft.com/office/spreadsheetml/2009/9/main" objectType="CheckBox" checked="Checked" fmlaLink="$M$78" lockText="1" noThreeD="1"/>
</file>

<file path=xl/ctrlProps/ctrlProp71.xml><?xml version="1.0" encoding="utf-8"?>
<formControlPr xmlns="http://schemas.microsoft.com/office/spreadsheetml/2009/9/main" objectType="CheckBox" fmlaLink="$M$70" lockText="1" noThreeD="1"/>
</file>

<file path=xl/ctrlProps/ctrlProp72.xml><?xml version="1.0" encoding="utf-8"?>
<formControlPr xmlns="http://schemas.microsoft.com/office/spreadsheetml/2009/9/main" objectType="CheckBox" checked="Checked" fmlaLink="$M$83" lockText="1" noThreeD="1"/>
</file>

<file path=xl/ctrlProps/ctrlProp73.xml><?xml version="1.0" encoding="utf-8"?>
<formControlPr xmlns="http://schemas.microsoft.com/office/spreadsheetml/2009/9/main" objectType="CheckBox" fmlaLink="$M$98" lockText="1" noThreeD="1"/>
</file>

<file path=xl/ctrlProps/ctrlProp74.xml><?xml version="1.0" encoding="utf-8"?>
<formControlPr xmlns="http://schemas.microsoft.com/office/spreadsheetml/2009/9/main" objectType="CheckBox" fmlaLink="$M$99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0</xdr:row>
      <xdr:rowOff>38100</xdr:rowOff>
    </xdr:from>
    <xdr:to>
      <xdr:col>2</xdr:col>
      <xdr:colOff>327711</xdr:colOff>
      <xdr:row>2</xdr:row>
      <xdr:rowOff>35</xdr:rowOff>
    </xdr:to>
    <xdr:pic>
      <xdr:nvPicPr>
        <xdr:cNvPr id="3" name="Picture 1" descr="fs_v1_PMS copy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91440" y="38100"/>
          <a:ext cx="1051611" cy="73155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0</xdr:row>
          <xdr:rowOff>83820</xdr:rowOff>
        </xdr:from>
        <xdr:to>
          <xdr:col>10</xdr:col>
          <xdr:colOff>1135380</xdr:colOff>
          <xdr:row>0</xdr:row>
          <xdr:rowOff>312420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8</xdr:row>
          <xdr:rowOff>15240</xdr:rowOff>
        </xdr:from>
        <xdr:to>
          <xdr:col>8</xdr:col>
          <xdr:colOff>838200</xdr:colOff>
          <xdr:row>9</xdr:row>
          <xdr:rowOff>7620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9</xdr:row>
          <xdr:rowOff>15240</xdr:rowOff>
        </xdr:from>
        <xdr:to>
          <xdr:col>8</xdr:col>
          <xdr:colOff>838200</xdr:colOff>
          <xdr:row>10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10</xdr:row>
          <xdr:rowOff>15240</xdr:rowOff>
        </xdr:from>
        <xdr:to>
          <xdr:col>8</xdr:col>
          <xdr:colOff>838200</xdr:colOff>
          <xdr:row>11</xdr:row>
          <xdr:rowOff>7620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11</xdr:row>
          <xdr:rowOff>15240</xdr:rowOff>
        </xdr:from>
        <xdr:to>
          <xdr:col>8</xdr:col>
          <xdr:colOff>838200</xdr:colOff>
          <xdr:row>12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12</xdr:row>
          <xdr:rowOff>15240</xdr:rowOff>
        </xdr:from>
        <xdr:to>
          <xdr:col>8</xdr:col>
          <xdr:colOff>838200</xdr:colOff>
          <xdr:row>13</xdr:row>
          <xdr:rowOff>7620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15</xdr:row>
          <xdr:rowOff>15240</xdr:rowOff>
        </xdr:from>
        <xdr:to>
          <xdr:col>8</xdr:col>
          <xdr:colOff>838200</xdr:colOff>
          <xdr:row>16</xdr:row>
          <xdr:rowOff>7620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16</xdr:row>
          <xdr:rowOff>15240</xdr:rowOff>
        </xdr:from>
        <xdr:to>
          <xdr:col>8</xdr:col>
          <xdr:colOff>838200</xdr:colOff>
          <xdr:row>17</xdr:row>
          <xdr:rowOff>7620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17</xdr:row>
          <xdr:rowOff>15240</xdr:rowOff>
        </xdr:from>
        <xdr:to>
          <xdr:col>8</xdr:col>
          <xdr:colOff>838200</xdr:colOff>
          <xdr:row>18</xdr:row>
          <xdr:rowOff>7620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18</xdr:row>
          <xdr:rowOff>15240</xdr:rowOff>
        </xdr:from>
        <xdr:to>
          <xdr:col>8</xdr:col>
          <xdr:colOff>838200</xdr:colOff>
          <xdr:row>19</xdr:row>
          <xdr:rowOff>7620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19</xdr:row>
          <xdr:rowOff>15240</xdr:rowOff>
        </xdr:from>
        <xdr:to>
          <xdr:col>8</xdr:col>
          <xdr:colOff>838200</xdr:colOff>
          <xdr:row>20</xdr:row>
          <xdr:rowOff>7620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20</xdr:row>
          <xdr:rowOff>15240</xdr:rowOff>
        </xdr:from>
        <xdr:to>
          <xdr:col>8</xdr:col>
          <xdr:colOff>838200</xdr:colOff>
          <xdr:row>21</xdr:row>
          <xdr:rowOff>7620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21</xdr:row>
          <xdr:rowOff>15240</xdr:rowOff>
        </xdr:from>
        <xdr:to>
          <xdr:col>8</xdr:col>
          <xdr:colOff>838200</xdr:colOff>
          <xdr:row>22</xdr:row>
          <xdr:rowOff>7620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22</xdr:row>
          <xdr:rowOff>15240</xdr:rowOff>
        </xdr:from>
        <xdr:to>
          <xdr:col>8</xdr:col>
          <xdr:colOff>838200</xdr:colOff>
          <xdr:row>23</xdr:row>
          <xdr:rowOff>7620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23</xdr:row>
          <xdr:rowOff>15240</xdr:rowOff>
        </xdr:from>
        <xdr:to>
          <xdr:col>8</xdr:col>
          <xdr:colOff>838200</xdr:colOff>
          <xdr:row>24</xdr:row>
          <xdr:rowOff>7620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24</xdr:row>
          <xdr:rowOff>15240</xdr:rowOff>
        </xdr:from>
        <xdr:to>
          <xdr:col>8</xdr:col>
          <xdr:colOff>838200</xdr:colOff>
          <xdr:row>25</xdr:row>
          <xdr:rowOff>7620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25</xdr:row>
          <xdr:rowOff>15240</xdr:rowOff>
        </xdr:from>
        <xdr:to>
          <xdr:col>8</xdr:col>
          <xdr:colOff>838200</xdr:colOff>
          <xdr:row>26</xdr:row>
          <xdr:rowOff>7620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26</xdr:row>
          <xdr:rowOff>15240</xdr:rowOff>
        </xdr:from>
        <xdr:to>
          <xdr:col>8</xdr:col>
          <xdr:colOff>838200</xdr:colOff>
          <xdr:row>27</xdr:row>
          <xdr:rowOff>7620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27</xdr:row>
          <xdr:rowOff>15240</xdr:rowOff>
        </xdr:from>
        <xdr:to>
          <xdr:col>8</xdr:col>
          <xdr:colOff>838200</xdr:colOff>
          <xdr:row>28</xdr:row>
          <xdr:rowOff>7620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28</xdr:row>
          <xdr:rowOff>15240</xdr:rowOff>
        </xdr:from>
        <xdr:to>
          <xdr:col>8</xdr:col>
          <xdr:colOff>838200</xdr:colOff>
          <xdr:row>29</xdr:row>
          <xdr:rowOff>7620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29</xdr:row>
          <xdr:rowOff>15240</xdr:rowOff>
        </xdr:from>
        <xdr:to>
          <xdr:col>8</xdr:col>
          <xdr:colOff>838200</xdr:colOff>
          <xdr:row>30</xdr:row>
          <xdr:rowOff>7620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30</xdr:row>
          <xdr:rowOff>15240</xdr:rowOff>
        </xdr:from>
        <xdr:to>
          <xdr:col>8</xdr:col>
          <xdr:colOff>838200</xdr:colOff>
          <xdr:row>31</xdr:row>
          <xdr:rowOff>7620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36</xdr:row>
          <xdr:rowOff>15240</xdr:rowOff>
        </xdr:from>
        <xdr:to>
          <xdr:col>8</xdr:col>
          <xdr:colOff>838200</xdr:colOff>
          <xdr:row>37</xdr:row>
          <xdr:rowOff>7620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37</xdr:row>
          <xdr:rowOff>15240</xdr:rowOff>
        </xdr:from>
        <xdr:to>
          <xdr:col>8</xdr:col>
          <xdr:colOff>838200</xdr:colOff>
          <xdr:row>38</xdr:row>
          <xdr:rowOff>7620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38</xdr:row>
          <xdr:rowOff>15240</xdr:rowOff>
        </xdr:from>
        <xdr:to>
          <xdr:col>8</xdr:col>
          <xdr:colOff>838200</xdr:colOff>
          <xdr:row>39</xdr:row>
          <xdr:rowOff>7620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44</xdr:row>
          <xdr:rowOff>15240</xdr:rowOff>
        </xdr:from>
        <xdr:to>
          <xdr:col>8</xdr:col>
          <xdr:colOff>838200</xdr:colOff>
          <xdr:row>45</xdr:row>
          <xdr:rowOff>7620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45</xdr:row>
          <xdr:rowOff>15240</xdr:rowOff>
        </xdr:from>
        <xdr:to>
          <xdr:col>8</xdr:col>
          <xdr:colOff>838200</xdr:colOff>
          <xdr:row>46</xdr:row>
          <xdr:rowOff>7620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51</xdr:row>
          <xdr:rowOff>7620</xdr:rowOff>
        </xdr:from>
        <xdr:to>
          <xdr:col>8</xdr:col>
          <xdr:colOff>838200</xdr:colOff>
          <xdr:row>52</xdr:row>
          <xdr:rowOff>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52</xdr:row>
          <xdr:rowOff>7620</xdr:rowOff>
        </xdr:from>
        <xdr:to>
          <xdr:col>8</xdr:col>
          <xdr:colOff>838200</xdr:colOff>
          <xdr:row>53</xdr:row>
          <xdr:rowOff>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60</xdr:row>
          <xdr:rowOff>15240</xdr:rowOff>
        </xdr:from>
        <xdr:to>
          <xdr:col>8</xdr:col>
          <xdr:colOff>838200</xdr:colOff>
          <xdr:row>61</xdr:row>
          <xdr:rowOff>7620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61</xdr:row>
          <xdr:rowOff>15240</xdr:rowOff>
        </xdr:from>
        <xdr:to>
          <xdr:col>8</xdr:col>
          <xdr:colOff>838200</xdr:colOff>
          <xdr:row>62</xdr:row>
          <xdr:rowOff>7620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62</xdr:row>
          <xdr:rowOff>15240</xdr:rowOff>
        </xdr:from>
        <xdr:to>
          <xdr:col>8</xdr:col>
          <xdr:colOff>838200</xdr:colOff>
          <xdr:row>63</xdr:row>
          <xdr:rowOff>7620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63</xdr:row>
          <xdr:rowOff>15240</xdr:rowOff>
        </xdr:from>
        <xdr:to>
          <xdr:col>8</xdr:col>
          <xdr:colOff>838200</xdr:colOff>
          <xdr:row>64</xdr:row>
          <xdr:rowOff>7620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64</xdr:row>
          <xdr:rowOff>15240</xdr:rowOff>
        </xdr:from>
        <xdr:to>
          <xdr:col>8</xdr:col>
          <xdr:colOff>838200</xdr:colOff>
          <xdr:row>65</xdr:row>
          <xdr:rowOff>7620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65</xdr:row>
          <xdr:rowOff>15240</xdr:rowOff>
        </xdr:from>
        <xdr:to>
          <xdr:col>8</xdr:col>
          <xdr:colOff>838200</xdr:colOff>
          <xdr:row>66</xdr:row>
          <xdr:rowOff>7620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66</xdr:row>
          <xdr:rowOff>15240</xdr:rowOff>
        </xdr:from>
        <xdr:to>
          <xdr:col>8</xdr:col>
          <xdr:colOff>838200</xdr:colOff>
          <xdr:row>67</xdr:row>
          <xdr:rowOff>7620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80</xdr:row>
          <xdr:rowOff>15240</xdr:rowOff>
        </xdr:from>
        <xdr:to>
          <xdr:col>8</xdr:col>
          <xdr:colOff>838200</xdr:colOff>
          <xdr:row>81</xdr:row>
          <xdr:rowOff>7620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83</xdr:row>
          <xdr:rowOff>15240</xdr:rowOff>
        </xdr:from>
        <xdr:to>
          <xdr:col>8</xdr:col>
          <xdr:colOff>838200</xdr:colOff>
          <xdr:row>84</xdr:row>
          <xdr:rowOff>7620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84</xdr:row>
          <xdr:rowOff>15240</xdr:rowOff>
        </xdr:from>
        <xdr:to>
          <xdr:col>8</xdr:col>
          <xdr:colOff>838200</xdr:colOff>
          <xdr:row>85</xdr:row>
          <xdr:rowOff>7620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85</xdr:row>
          <xdr:rowOff>15240</xdr:rowOff>
        </xdr:from>
        <xdr:to>
          <xdr:col>8</xdr:col>
          <xdr:colOff>838200</xdr:colOff>
          <xdr:row>86</xdr:row>
          <xdr:rowOff>7620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86</xdr:row>
          <xdr:rowOff>15240</xdr:rowOff>
        </xdr:from>
        <xdr:to>
          <xdr:col>8</xdr:col>
          <xdr:colOff>838200</xdr:colOff>
          <xdr:row>87</xdr:row>
          <xdr:rowOff>7620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87</xdr:row>
          <xdr:rowOff>15240</xdr:rowOff>
        </xdr:from>
        <xdr:to>
          <xdr:col>8</xdr:col>
          <xdr:colOff>838200</xdr:colOff>
          <xdr:row>88</xdr:row>
          <xdr:rowOff>7620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88</xdr:row>
          <xdr:rowOff>15240</xdr:rowOff>
        </xdr:from>
        <xdr:to>
          <xdr:col>8</xdr:col>
          <xdr:colOff>838200</xdr:colOff>
          <xdr:row>89</xdr:row>
          <xdr:rowOff>7620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95</xdr:row>
          <xdr:rowOff>15240</xdr:rowOff>
        </xdr:from>
        <xdr:to>
          <xdr:col>8</xdr:col>
          <xdr:colOff>838200</xdr:colOff>
          <xdr:row>96</xdr:row>
          <xdr:rowOff>7620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94</xdr:row>
          <xdr:rowOff>15240</xdr:rowOff>
        </xdr:from>
        <xdr:to>
          <xdr:col>8</xdr:col>
          <xdr:colOff>838200</xdr:colOff>
          <xdr:row>95</xdr:row>
          <xdr:rowOff>7620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93</xdr:row>
          <xdr:rowOff>15240</xdr:rowOff>
        </xdr:from>
        <xdr:to>
          <xdr:col>8</xdr:col>
          <xdr:colOff>838200</xdr:colOff>
          <xdr:row>94</xdr:row>
          <xdr:rowOff>7620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92</xdr:row>
          <xdr:rowOff>15240</xdr:rowOff>
        </xdr:from>
        <xdr:to>
          <xdr:col>8</xdr:col>
          <xdr:colOff>838200</xdr:colOff>
          <xdr:row>93</xdr:row>
          <xdr:rowOff>7620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91</xdr:row>
          <xdr:rowOff>15240</xdr:rowOff>
        </xdr:from>
        <xdr:to>
          <xdr:col>8</xdr:col>
          <xdr:colOff>838200</xdr:colOff>
          <xdr:row>92</xdr:row>
          <xdr:rowOff>7620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90</xdr:row>
          <xdr:rowOff>15240</xdr:rowOff>
        </xdr:from>
        <xdr:to>
          <xdr:col>8</xdr:col>
          <xdr:colOff>838200</xdr:colOff>
          <xdr:row>91</xdr:row>
          <xdr:rowOff>7620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89</xdr:row>
          <xdr:rowOff>15240</xdr:rowOff>
        </xdr:from>
        <xdr:to>
          <xdr:col>8</xdr:col>
          <xdr:colOff>838200</xdr:colOff>
          <xdr:row>90</xdr:row>
          <xdr:rowOff>7620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71</xdr:row>
          <xdr:rowOff>15240</xdr:rowOff>
        </xdr:from>
        <xdr:to>
          <xdr:col>8</xdr:col>
          <xdr:colOff>838200</xdr:colOff>
          <xdr:row>72</xdr:row>
          <xdr:rowOff>7620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70</xdr:row>
          <xdr:rowOff>15240</xdr:rowOff>
        </xdr:from>
        <xdr:to>
          <xdr:col>8</xdr:col>
          <xdr:colOff>838200</xdr:colOff>
          <xdr:row>71</xdr:row>
          <xdr:rowOff>7620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68</xdr:row>
          <xdr:rowOff>15240</xdr:rowOff>
        </xdr:from>
        <xdr:to>
          <xdr:col>8</xdr:col>
          <xdr:colOff>838200</xdr:colOff>
          <xdr:row>69</xdr:row>
          <xdr:rowOff>7620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67</xdr:row>
          <xdr:rowOff>15240</xdr:rowOff>
        </xdr:from>
        <xdr:to>
          <xdr:col>8</xdr:col>
          <xdr:colOff>838200</xdr:colOff>
          <xdr:row>68</xdr:row>
          <xdr:rowOff>7620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54</xdr:row>
          <xdr:rowOff>7620</xdr:rowOff>
        </xdr:from>
        <xdr:to>
          <xdr:col>8</xdr:col>
          <xdr:colOff>838200</xdr:colOff>
          <xdr:row>55</xdr:row>
          <xdr:rowOff>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53</xdr:row>
          <xdr:rowOff>7620</xdr:rowOff>
        </xdr:from>
        <xdr:to>
          <xdr:col>8</xdr:col>
          <xdr:colOff>838200</xdr:colOff>
          <xdr:row>54</xdr:row>
          <xdr:rowOff>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47</xdr:row>
          <xdr:rowOff>15240</xdr:rowOff>
        </xdr:from>
        <xdr:to>
          <xdr:col>8</xdr:col>
          <xdr:colOff>838200</xdr:colOff>
          <xdr:row>48</xdr:row>
          <xdr:rowOff>7620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46</xdr:row>
          <xdr:rowOff>15240</xdr:rowOff>
        </xdr:from>
        <xdr:to>
          <xdr:col>8</xdr:col>
          <xdr:colOff>838200</xdr:colOff>
          <xdr:row>47</xdr:row>
          <xdr:rowOff>7620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32</xdr:row>
          <xdr:rowOff>15240</xdr:rowOff>
        </xdr:from>
        <xdr:to>
          <xdr:col>8</xdr:col>
          <xdr:colOff>838200</xdr:colOff>
          <xdr:row>33</xdr:row>
          <xdr:rowOff>7620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31</xdr:row>
          <xdr:rowOff>15240</xdr:rowOff>
        </xdr:from>
        <xdr:to>
          <xdr:col>8</xdr:col>
          <xdr:colOff>838200</xdr:colOff>
          <xdr:row>32</xdr:row>
          <xdr:rowOff>7620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33</xdr:row>
          <xdr:rowOff>15240</xdr:rowOff>
        </xdr:from>
        <xdr:to>
          <xdr:col>8</xdr:col>
          <xdr:colOff>838200</xdr:colOff>
          <xdr:row>34</xdr:row>
          <xdr:rowOff>7620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41</xdr:row>
          <xdr:rowOff>15240</xdr:rowOff>
        </xdr:from>
        <xdr:to>
          <xdr:col>8</xdr:col>
          <xdr:colOff>838200</xdr:colOff>
          <xdr:row>42</xdr:row>
          <xdr:rowOff>7620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48</xdr:row>
          <xdr:rowOff>15240</xdr:rowOff>
        </xdr:from>
        <xdr:to>
          <xdr:col>8</xdr:col>
          <xdr:colOff>838200</xdr:colOff>
          <xdr:row>49</xdr:row>
          <xdr:rowOff>7620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55</xdr:row>
          <xdr:rowOff>7620</xdr:rowOff>
        </xdr:from>
        <xdr:to>
          <xdr:col>8</xdr:col>
          <xdr:colOff>838200</xdr:colOff>
          <xdr:row>56</xdr:row>
          <xdr:rowOff>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56</xdr:row>
          <xdr:rowOff>7620</xdr:rowOff>
        </xdr:from>
        <xdr:to>
          <xdr:col>8</xdr:col>
          <xdr:colOff>838200</xdr:colOff>
          <xdr:row>57</xdr:row>
          <xdr:rowOff>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57</xdr:row>
          <xdr:rowOff>7620</xdr:rowOff>
        </xdr:from>
        <xdr:to>
          <xdr:col>8</xdr:col>
          <xdr:colOff>838200</xdr:colOff>
          <xdr:row>58</xdr:row>
          <xdr:rowOff>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72</xdr:row>
          <xdr:rowOff>15240</xdr:rowOff>
        </xdr:from>
        <xdr:to>
          <xdr:col>8</xdr:col>
          <xdr:colOff>838200</xdr:colOff>
          <xdr:row>73</xdr:row>
          <xdr:rowOff>7620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73</xdr:row>
          <xdr:rowOff>15240</xdr:rowOff>
        </xdr:from>
        <xdr:to>
          <xdr:col>8</xdr:col>
          <xdr:colOff>838200</xdr:colOff>
          <xdr:row>74</xdr:row>
          <xdr:rowOff>7620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74</xdr:row>
          <xdr:rowOff>15240</xdr:rowOff>
        </xdr:from>
        <xdr:to>
          <xdr:col>8</xdr:col>
          <xdr:colOff>838200</xdr:colOff>
          <xdr:row>75</xdr:row>
          <xdr:rowOff>7620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77</xdr:row>
          <xdr:rowOff>15240</xdr:rowOff>
        </xdr:from>
        <xdr:to>
          <xdr:col>8</xdr:col>
          <xdr:colOff>838200</xdr:colOff>
          <xdr:row>78</xdr:row>
          <xdr:rowOff>7620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69</xdr:row>
          <xdr:rowOff>15240</xdr:rowOff>
        </xdr:from>
        <xdr:to>
          <xdr:col>8</xdr:col>
          <xdr:colOff>838200</xdr:colOff>
          <xdr:row>70</xdr:row>
          <xdr:rowOff>7620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82</xdr:row>
          <xdr:rowOff>15240</xdr:rowOff>
        </xdr:from>
        <xdr:to>
          <xdr:col>8</xdr:col>
          <xdr:colOff>838200</xdr:colOff>
          <xdr:row>83</xdr:row>
          <xdr:rowOff>7620</xdr:rowOff>
        </xdr:to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97</xdr:row>
          <xdr:rowOff>15240</xdr:rowOff>
        </xdr:from>
        <xdr:to>
          <xdr:col>8</xdr:col>
          <xdr:colOff>838200</xdr:colOff>
          <xdr:row>98</xdr:row>
          <xdr:rowOff>7620</xdr:rowOff>
        </xdr:to>
        <xdr:sp macro="" textlink="">
          <xdr:nvSpPr>
            <xdr:cNvPr id="1252" name="Check Box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98</xdr:row>
          <xdr:rowOff>15240</xdr:rowOff>
        </xdr:from>
        <xdr:to>
          <xdr:col>8</xdr:col>
          <xdr:colOff>838200</xdr:colOff>
          <xdr:row>99</xdr:row>
          <xdr:rowOff>7620</xdr:rowOff>
        </xdr:to>
        <xdr:sp macro="" textlink="">
          <xdr:nvSpPr>
            <xdr:cNvPr id="1253" name="Check Box 229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05"/>
  <sheetViews>
    <sheetView tabSelected="1" topLeftCell="A90" zoomScaleNormal="100" workbookViewId="0">
      <selection activeCell="I32" sqref="I32"/>
    </sheetView>
  </sheetViews>
  <sheetFormatPr defaultColWidth="0" defaultRowHeight="14.4" zeroHeight="1" x14ac:dyDescent="0.3"/>
  <cols>
    <col min="1" max="1" width="4.33203125" style="35" customWidth="1"/>
    <col min="2" max="2" width="7.6640625" style="35" customWidth="1"/>
    <col min="3" max="3" width="8.33203125" style="35" customWidth="1"/>
    <col min="4" max="6" width="8.6640625" style="35" customWidth="1"/>
    <col min="7" max="7" width="9.5546875" style="35" customWidth="1"/>
    <col min="8" max="8" width="8.88671875" style="35" customWidth="1"/>
    <col min="9" max="9" width="19.88671875" style="35" customWidth="1"/>
    <col min="10" max="10" width="9.33203125" style="35" customWidth="1"/>
    <col min="11" max="11" width="81.6640625" style="35" customWidth="1"/>
    <col min="12" max="12" width="8.88671875" style="36" hidden="1" customWidth="1"/>
    <col min="13" max="13" width="5.44140625" style="36" hidden="1" customWidth="1"/>
    <col min="14" max="16384" width="8.88671875" style="36" hidden="1"/>
  </cols>
  <sheetData>
    <row r="1" spans="1:13" ht="30.6" thickTop="1" x14ac:dyDescent="0.5">
      <c r="A1" s="30"/>
      <c r="B1" s="31"/>
      <c r="C1" s="31"/>
      <c r="D1" s="31"/>
      <c r="E1" s="31"/>
      <c r="F1" s="31"/>
      <c r="G1" s="32" t="s">
        <v>17</v>
      </c>
      <c r="H1" s="33"/>
      <c r="I1" s="31"/>
      <c r="J1" s="34" t="s">
        <v>92</v>
      </c>
      <c r="K1" s="39"/>
    </row>
    <row r="2" spans="1:13" ht="30" x14ac:dyDescent="0.5">
      <c r="A2" s="27"/>
      <c r="B2" s="2"/>
      <c r="C2" s="2"/>
      <c r="D2" s="2"/>
      <c r="E2" s="2"/>
      <c r="F2" s="2"/>
      <c r="G2" s="3" t="s">
        <v>0</v>
      </c>
      <c r="H2" s="4"/>
      <c r="I2" s="2"/>
      <c r="J2" s="2"/>
      <c r="K2" s="40"/>
    </row>
    <row r="3" spans="1:13" x14ac:dyDescent="0.3">
      <c r="A3" s="27"/>
      <c r="B3" s="2"/>
      <c r="C3" s="2"/>
      <c r="D3" s="2"/>
      <c r="E3" s="2"/>
      <c r="F3" s="2"/>
      <c r="G3" s="2"/>
      <c r="H3" s="4"/>
      <c r="I3" s="2"/>
      <c r="J3" s="2"/>
      <c r="K3" s="40"/>
    </row>
    <row r="4" spans="1:13" ht="22.8" x14ac:dyDescent="0.4">
      <c r="A4" s="28" t="s">
        <v>90</v>
      </c>
      <c r="B4" s="2"/>
      <c r="C4" s="2"/>
      <c r="D4" s="2"/>
      <c r="E4" s="2"/>
      <c r="F4" s="2"/>
      <c r="G4" s="2"/>
      <c r="H4" s="4"/>
      <c r="I4" s="2"/>
      <c r="J4" s="2"/>
      <c r="K4" s="40"/>
    </row>
    <row r="5" spans="1:13" ht="22.8" x14ac:dyDescent="0.4">
      <c r="A5" s="28"/>
      <c r="B5" s="56"/>
      <c r="C5" s="56"/>
      <c r="D5" s="56"/>
      <c r="E5" s="56"/>
      <c r="F5" s="56"/>
      <c r="G5" s="2"/>
      <c r="H5" s="4"/>
      <c r="I5" s="2"/>
      <c r="J5" s="2"/>
      <c r="K5" s="40"/>
    </row>
    <row r="6" spans="1:13" ht="15" thickBot="1" x14ac:dyDescent="0.35">
      <c r="A6" s="27"/>
      <c r="B6" s="57"/>
      <c r="C6" s="57"/>
      <c r="D6" s="57"/>
      <c r="E6" s="57"/>
      <c r="F6" s="57"/>
      <c r="G6" s="2"/>
      <c r="H6" s="4"/>
      <c r="I6" s="2"/>
      <c r="J6" s="2"/>
      <c r="K6" s="40"/>
    </row>
    <row r="7" spans="1:13" x14ac:dyDescent="0.3">
      <c r="A7" s="27"/>
      <c r="B7" s="2"/>
      <c r="C7" s="2"/>
      <c r="D7" s="2"/>
      <c r="E7" s="2"/>
      <c r="F7" s="2"/>
      <c r="G7" s="2"/>
      <c r="H7" s="4"/>
      <c r="I7" s="2"/>
      <c r="J7" s="2"/>
      <c r="K7" s="40"/>
    </row>
    <row r="8" spans="1:13" ht="22.8" x14ac:dyDescent="0.4">
      <c r="A8" s="28" t="s">
        <v>1</v>
      </c>
      <c r="B8" s="2"/>
      <c r="C8" s="2"/>
      <c r="D8" s="2"/>
      <c r="E8" s="2"/>
      <c r="F8" s="2"/>
      <c r="G8" s="2"/>
      <c r="H8" s="5" t="s">
        <v>2</v>
      </c>
      <c r="I8" s="5" t="s">
        <v>3</v>
      </c>
      <c r="J8" s="5" t="s">
        <v>4</v>
      </c>
      <c r="K8" s="41" t="s">
        <v>16</v>
      </c>
    </row>
    <row r="9" spans="1:13" ht="17.399999999999999" x14ac:dyDescent="0.3">
      <c r="A9" s="29"/>
      <c r="B9" s="6" t="s">
        <v>18</v>
      </c>
      <c r="C9" s="7"/>
      <c r="D9" s="2"/>
      <c r="E9"/>
      <c r="F9" s="7"/>
      <c r="G9"/>
      <c r="H9" s="8" t="s">
        <v>5</v>
      </c>
      <c r="I9" s="53"/>
      <c r="J9" s="15">
        <f>IF(M9=TRUE, 10, -10)</f>
        <v>10</v>
      </c>
      <c r="K9" s="43"/>
      <c r="M9" s="37" t="b">
        <v>1</v>
      </c>
    </row>
    <row r="10" spans="1:13" ht="17.399999999999999" x14ac:dyDescent="0.3">
      <c r="A10" s="27"/>
      <c r="B10" s="9" t="s">
        <v>19</v>
      </c>
      <c r="C10" s="10"/>
      <c r="D10" s="10"/>
      <c r="E10" s="10"/>
      <c r="F10" s="10"/>
      <c r="G10" s="10"/>
      <c r="H10" s="8" t="s">
        <v>5</v>
      </c>
      <c r="I10" s="54"/>
      <c r="J10" s="15">
        <f>IF(M10=TRUE, 10, -10)</f>
        <v>10</v>
      </c>
      <c r="K10" s="44"/>
      <c r="M10" s="37" t="b">
        <v>1</v>
      </c>
    </row>
    <row r="11" spans="1:13" ht="17.399999999999999" x14ac:dyDescent="0.3">
      <c r="A11" s="27"/>
      <c r="B11" s="9" t="s">
        <v>24</v>
      </c>
      <c r="C11" s="10"/>
      <c r="D11" s="10"/>
      <c r="E11" s="10"/>
      <c r="F11" s="10"/>
      <c r="G11" s="17"/>
      <c r="H11" s="8" t="s">
        <v>5</v>
      </c>
      <c r="I11" s="54"/>
      <c r="J11" s="15">
        <f>IF(M11=TRUE, 10, -10)</f>
        <v>10</v>
      </c>
      <c r="K11" s="44"/>
      <c r="M11" s="37" t="b">
        <v>1</v>
      </c>
    </row>
    <row r="12" spans="1:13" ht="17.399999999999999" x14ac:dyDescent="0.3">
      <c r="A12" s="27"/>
      <c r="B12" s="9" t="s">
        <v>20</v>
      </c>
      <c r="C12" s="10"/>
      <c r="D12" s="10"/>
      <c r="E12" s="10"/>
      <c r="F12" s="10"/>
      <c r="G12" s="10"/>
      <c r="H12" s="8" t="s">
        <v>5</v>
      </c>
      <c r="I12" s="54"/>
      <c r="J12" s="15">
        <f>IF(M12=TRUE, 10, -10)</f>
        <v>10</v>
      </c>
      <c r="K12" s="44"/>
      <c r="M12" s="37" t="b">
        <v>1</v>
      </c>
    </row>
    <row r="13" spans="1:13" ht="17.399999999999999" x14ac:dyDescent="0.3">
      <c r="A13" s="27"/>
      <c r="B13" s="9" t="s">
        <v>6</v>
      </c>
      <c r="C13" s="10"/>
      <c r="D13" s="10"/>
      <c r="E13" s="10"/>
      <c r="F13" s="10"/>
      <c r="G13" s="10"/>
      <c r="H13" s="8" t="s">
        <v>5</v>
      </c>
      <c r="I13" s="54"/>
      <c r="J13" s="15">
        <f>IF(M13=TRUE, 10, -10)</f>
        <v>10</v>
      </c>
      <c r="K13" s="44"/>
      <c r="M13" s="37" t="b">
        <v>1</v>
      </c>
    </row>
    <row r="14" spans="1:13" x14ac:dyDescent="0.3">
      <c r="A14" s="27"/>
      <c r="B14" s="2"/>
      <c r="C14" s="2"/>
      <c r="D14" s="2"/>
      <c r="E14" s="2"/>
      <c r="F14" s="2"/>
      <c r="G14" s="2"/>
      <c r="H14" s="11"/>
      <c r="I14" s="55"/>
      <c r="J14" s="11"/>
      <c r="K14" s="45"/>
      <c r="M14" s="37"/>
    </row>
    <row r="15" spans="1:13" ht="22.8" x14ac:dyDescent="0.4">
      <c r="A15" s="28" t="s">
        <v>7</v>
      </c>
      <c r="B15" s="2"/>
      <c r="C15" s="2"/>
      <c r="D15" s="2"/>
      <c r="E15" s="2"/>
      <c r="F15" s="2"/>
      <c r="G15" s="2"/>
      <c r="H15" s="12"/>
      <c r="I15" s="55"/>
      <c r="J15" s="12"/>
      <c r="K15" s="46"/>
      <c r="M15" s="37"/>
    </row>
    <row r="16" spans="1:13" ht="17.399999999999999" x14ac:dyDescent="0.3">
      <c r="A16" s="27"/>
      <c r="B16" s="21" t="s">
        <v>22</v>
      </c>
      <c r="C16" s="14"/>
      <c r="D16" s="14"/>
      <c r="E16" s="14"/>
      <c r="F16" s="14"/>
      <c r="G16" s="14"/>
      <c r="H16" s="15">
        <v>2</v>
      </c>
      <c r="I16" s="53"/>
      <c r="J16" s="15">
        <f>IF(M16=TRUE, H16, 0)</f>
        <v>2</v>
      </c>
      <c r="K16" s="43"/>
      <c r="M16" s="37" t="b">
        <v>1</v>
      </c>
    </row>
    <row r="17" spans="1:13" ht="17.399999999999999" x14ac:dyDescent="0.3">
      <c r="A17" s="27"/>
      <c r="B17" s="19" t="s">
        <v>23</v>
      </c>
      <c r="C17" s="17"/>
      <c r="D17" s="17"/>
      <c r="E17" s="17"/>
      <c r="F17" s="17"/>
      <c r="G17" s="14"/>
      <c r="H17" s="18">
        <v>2</v>
      </c>
      <c r="I17" s="54"/>
      <c r="J17" s="15">
        <f t="shared" ref="J17:J34" si="0">IF(M17=TRUE, H17, 0)</f>
        <v>2</v>
      </c>
      <c r="K17" s="44"/>
      <c r="M17" s="37" t="b">
        <v>1</v>
      </c>
    </row>
    <row r="18" spans="1:13" ht="17.399999999999999" x14ac:dyDescent="0.3">
      <c r="A18" s="27"/>
      <c r="B18" s="16" t="s">
        <v>25</v>
      </c>
      <c r="C18" s="17"/>
      <c r="D18" s="17"/>
      <c r="E18" s="17"/>
      <c r="F18" s="17"/>
      <c r="G18" s="17"/>
      <c r="H18" s="18">
        <v>3</v>
      </c>
      <c r="I18" s="54"/>
      <c r="J18" s="15">
        <f t="shared" si="0"/>
        <v>3</v>
      </c>
      <c r="K18" s="44"/>
      <c r="M18" s="37" t="b">
        <v>1</v>
      </c>
    </row>
    <row r="19" spans="1:13" ht="17.399999999999999" x14ac:dyDescent="0.3">
      <c r="A19" s="27"/>
      <c r="B19" s="16" t="s">
        <v>26</v>
      </c>
      <c r="C19" s="17"/>
      <c r="D19" s="17"/>
      <c r="E19" s="17"/>
      <c r="F19" s="17"/>
      <c r="G19" s="17"/>
      <c r="H19" s="18">
        <v>3</v>
      </c>
      <c r="I19" s="54"/>
      <c r="J19" s="15">
        <f t="shared" si="0"/>
        <v>3</v>
      </c>
      <c r="K19" s="44"/>
      <c r="M19" s="37" t="b">
        <v>1</v>
      </c>
    </row>
    <row r="20" spans="1:13" ht="17.399999999999999" x14ac:dyDescent="0.3">
      <c r="A20" s="27"/>
      <c r="B20" s="16" t="s">
        <v>27</v>
      </c>
      <c r="C20" s="17"/>
      <c r="D20" s="17"/>
      <c r="E20" s="17"/>
      <c r="F20" s="17"/>
      <c r="G20" s="17"/>
      <c r="H20" s="18">
        <v>3</v>
      </c>
      <c r="I20" s="54"/>
      <c r="J20" s="15">
        <f t="shared" si="0"/>
        <v>3</v>
      </c>
      <c r="K20" s="44"/>
      <c r="M20" s="37" t="b">
        <v>1</v>
      </c>
    </row>
    <row r="21" spans="1:13" ht="17.399999999999999" x14ac:dyDescent="0.3">
      <c r="A21" s="27"/>
      <c r="B21" s="16" t="s">
        <v>65</v>
      </c>
      <c r="C21" s="17"/>
      <c r="D21" s="17"/>
      <c r="E21" s="17"/>
      <c r="F21" s="17"/>
      <c r="G21" s="17"/>
      <c r="H21" s="18">
        <v>3</v>
      </c>
      <c r="I21" s="54"/>
      <c r="J21" s="15">
        <f t="shared" si="0"/>
        <v>3</v>
      </c>
      <c r="K21" s="44"/>
      <c r="M21" s="37" t="b">
        <v>1</v>
      </c>
    </row>
    <row r="22" spans="1:13" ht="17.399999999999999" x14ac:dyDescent="0.3">
      <c r="A22" s="27"/>
      <c r="B22" s="16" t="s">
        <v>66</v>
      </c>
      <c r="C22" s="17"/>
      <c r="D22" s="17"/>
      <c r="E22" s="17"/>
      <c r="F22" s="17"/>
      <c r="G22" s="17"/>
      <c r="H22" s="18">
        <v>3</v>
      </c>
      <c r="I22" s="54"/>
      <c r="J22" s="15">
        <f t="shared" si="0"/>
        <v>0</v>
      </c>
      <c r="K22" s="44"/>
      <c r="M22" s="37" t="b">
        <v>0</v>
      </c>
    </row>
    <row r="23" spans="1:13" ht="17.399999999999999" x14ac:dyDescent="0.3">
      <c r="A23" s="27"/>
      <c r="B23" s="16" t="s">
        <v>67</v>
      </c>
      <c r="C23" s="17"/>
      <c r="D23" s="17"/>
      <c r="E23" s="17"/>
      <c r="F23" s="17"/>
      <c r="G23" s="17"/>
      <c r="H23" s="18">
        <v>3</v>
      </c>
      <c r="I23" s="54"/>
      <c r="J23" s="15">
        <f t="shared" si="0"/>
        <v>3</v>
      </c>
      <c r="K23" s="44"/>
      <c r="M23" s="37" t="b">
        <v>1</v>
      </c>
    </row>
    <row r="24" spans="1:13" ht="17.399999999999999" x14ac:dyDescent="0.3">
      <c r="A24" s="27"/>
      <c r="B24" s="16" t="s">
        <v>68</v>
      </c>
      <c r="C24" s="17"/>
      <c r="D24" s="17"/>
      <c r="E24" s="17"/>
      <c r="F24" s="17"/>
      <c r="G24" s="17"/>
      <c r="H24" s="18">
        <v>3</v>
      </c>
      <c r="I24" s="54"/>
      <c r="J24" s="15">
        <f t="shared" si="0"/>
        <v>3</v>
      </c>
      <c r="K24" s="44"/>
      <c r="M24" s="37" t="b">
        <v>1</v>
      </c>
    </row>
    <row r="25" spans="1:13" ht="17.399999999999999" x14ac:dyDescent="0.3">
      <c r="A25" s="27"/>
      <c r="B25" s="16" t="s">
        <v>28</v>
      </c>
      <c r="C25" s="17"/>
      <c r="D25" s="17"/>
      <c r="E25" s="17"/>
      <c r="F25" s="17"/>
      <c r="G25" s="17"/>
      <c r="H25" s="18">
        <v>3</v>
      </c>
      <c r="I25" s="54"/>
      <c r="J25" s="15">
        <f t="shared" si="0"/>
        <v>3</v>
      </c>
      <c r="K25" s="44"/>
      <c r="M25" s="37" t="b">
        <v>1</v>
      </c>
    </row>
    <row r="26" spans="1:13" ht="17.399999999999999" x14ac:dyDescent="0.3">
      <c r="A26" s="27"/>
      <c r="B26" s="19" t="s">
        <v>29</v>
      </c>
      <c r="C26" s="17"/>
      <c r="D26" s="17"/>
      <c r="E26" s="17"/>
      <c r="F26" s="17"/>
      <c r="G26" s="14"/>
      <c r="H26" s="18">
        <v>2</v>
      </c>
      <c r="I26" s="54"/>
      <c r="J26" s="15">
        <f t="shared" si="0"/>
        <v>2</v>
      </c>
      <c r="K26" s="44"/>
      <c r="M26" s="37" t="b">
        <v>1</v>
      </c>
    </row>
    <row r="27" spans="1:13" ht="17.399999999999999" x14ac:dyDescent="0.3">
      <c r="A27" s="27"/>
      <c r="B27" s="16" t="s">
        <v>82</v>
      </c>
      <c r="C27" s="17"/>
      <c r="D27" s="17"/>
      <c r="E27" s="17"/>
      <c r="F27" s="17"/>
      <c r="G27" s="17"/>
      <c r="H27" s="18">
        <v>3</v>
      </c>
      <c r="I27" s="54"/>
      <c r="J27" s="15">
        <f t="shared" si="0"/>
        <v>3</v>
      </c>
      <c r="K27" s="44"/>
      <c r="M27" s="37" t="b">
        <v>1</v>
      </c>
    </row>
    <row r="28" spans="1:13" ht="17.399999999999999" x14ac:dyDescent="0.3">
      <c r="A28" s="27"/>
      <c r="B28" s="19" t="s">
        <v>83</v>
      </c>
      <c r="C28" s="17"/>
      <c r="D28" s="17"/>
      <c r="E28" s="17"/>
      <c r="F28" s="17"/>
      <c r="G28" s="14"/>
      <c r="H28" s="18">
        <v>2</v>
      </c>
      <c r="I28" s="54"/>
      <c r="J28" s="15">
        <f t="shared" si="0"/>
        <v>2</v>
      </c>
      <c r="K28" s="44"/>
      <c r="M28" s="37" t="b">
        <v>1</v>
      </c>
    </row>
    <row r="29" spans="1:13" ht="17.399999999999999" x14ac:dyDescent="0.3">
      <c r="A29" s="27"/>
      <c r="B29" s="19" t="s">
        <v>30</v>
      </c>
      <c r="C29" s="17"/>
      <c r="D29" s="17"/>
      <c r="E29" s="17"/>
      <c r="F29" s="17"/>
      <c r="G29" s="14"/>
      <c r="H29" s="18">
        <v>2</v>
      </c>
      <c r="I29" s="54"/>
      <c r="J29" s="15">
        <f t="shared" si="0"/>
        <v>2</v>
      </c>
      <c r="K29" s="44"/>
      <c r="M29" s="37" t="b">
        <v>1</v>
      </c>
    </row>
    <row r="30" spans="1:13" ht="17.399999999999999" x14ac:dyDescent="0.3">
      <c r="A30" s="27"/>
      <c r="B30" s="20" t="s">
        <v>31</v>
      </c>
      <c r="C30" s="17"/>
      <c r="D30" s="17"/>
      <c r="E30" s="17"/>
      <c r="F30" s="17"/>
      <c r="G30" s="17"/>
      <c r="H30" s="18">
        <v>4</v>
      </c>
      <c r="I30" s="54"/>
      <c r="J30" s="15">
        <f t="shared" si="0"/>
        <v>4</v>
      </c>
      <c r="K30" s="44"/>
      <c r="M30" s="37" t="b">
        <v>1</v>
      </c>
    </row>
    <row r="31" spans="1:13" ht="17.399999999999999" x14ac:dyDescent="0.3">
      <c r="A31" s="27"/>
      <c r="B31" s="19" t="s">
        <v>32</v>
      </c>
      <c r="C31" s="17"/>
      <c r="D31" s="17"/>
      <c r="E31" s="17"/>
      <c r="F31" s="17"/>
      <c r="G31" s="14"/>
      <c r="H31" s="18">
        <v>2</v>
      </c>
      <c r="I31" s="54"/>
      <c r="J31" s="15">
        <f t="shared" si="0"/>
        <v>2</v>
      </c>
      <c r="K31" s="44"/>
      <c r="M31" s="37" t="b">
        <v>1</v>
      </c>
    </row>
    <row r="32" spans="1:13" ht="17.399999999999999" x14ac:dyDescent="0.3">
      <c r="A32" s="27"/>
      <c r="B32" s="16" t="s">
        <v>33</v>
      </c>
      <c r="C32" s="17"/>
      <c r="D32" s="17"/>
      <c r="E32" s="17"/>
      <c r="F32" s="17"/>
      <c r="G32" s="17"/>
      <c r="H32" s="18">
        <v>3</v>
      </c>
      <c r="I32" s="54"/>
      <c r="J32" s="15">
        <f t="shared" si="0"/>
        <v>3</v>
      </c>
      <c r="K32" s="44"/>
      <c r="M32" s="37" t="b">
        <v>1</v>
      </c>
    </row>
    <row r="33" spans="1:13" ht="17.399999999999999" x14ac:dyDescent="0.3">
      <c r="A33" s="27"/>
      <c r="B33" s="20" t="s">
        <v>34</v>
      </c>
      <c r="C33" s="17"/>
      <c r="D33" s="17"/>
      <c r="E33" s="17"/>
      <c r="F33" s="17"/>
      <c r="G33" s="17"/>
      <c r="H33" s="18">
        <v>4</v>
      </c>
      <c r="I33" s="54"/>
      <c r="J33" s="15">
        <f t="shared" si="0"/>
        <v>0</v>
      </c>
      <c r="K33" s="44"/>
      <c r="M33" s="37" t="b">
        <v>0</v>
      </c>
    </row>
    <row r="34" spans="1:13" ht="17.399999999999999" x14ac:dyDescent="0.3">
      <c r="A34" s="27"/>
      <c r="B34" s="22" t="s">
        <v>69</v>
      </c>
      <c r="C34" s="17"/>
      <c r="D34" s="17"/>
      <c r="E34" s="17"/>
      <c r="F34" s="17"/>
      <c r="G34" s="17"/>
      <c r="H34" s="18">
        <v>5</v>
      </c>
      <c r="I34" s="54"/>
      <c r="J34" s="15">
        <f t="shared" si="0"/>
        <v>5</v>
      </c>
      <c r="K34" s="44"/>
      <c r="M34" s="37" t="b">
        <v>1</v>
      </c>
    </row>
    <row r="35" spans="1:13" x14ac:dyDescent="0.3">
      <c r="A35" s="27"/>
      <c r="B35" s="2"/>
      <c r="C35" s="2"/>
      <c r="D35" s="2"/>
      <c r="E35" s="2"/>
      <c r="F35" s="2"/>
      <c r="G35" s="2"/>
      <c r="H35" s="12"/>
      <c r="I35" s="55"/>
      <c r="J35" s="24"/>
      <c r="K35" s="45"/>
      <c r="M35" s="37"/>
    </row>
    <row r="36" spans="1:13" ht="22.8" x14ac:dyDescent="0.4">
      <c r="A36" s="28" t="s">
        <v>8</v>
      </c>
      <c r="B36" s="2"/>
      <c r="C36" s="2"/>
      <c r="D36" s="2"/>
      <c r="E36" s="2"/>
      <c r="F36" s="2"/>
      <c r="G36" s="2"/>
      <c r="H36" s="12"/>
      <c r="I36" s="55"/>
      <c r="J36" s="12"/>
      <c r="K36" s="46"/>
      <c r="M36" s="37"/>
    </row>
    <row r="37" spans="1:13" ht="17.399999999999999" x14ac:dyDescent="0.3">
      <c r="A37" s="27"/>
      <c r="B37" s="21" t="s">
        <v>35</v>
      </c>
      <c r="C37" s="14"/>
      <c r="D37" s="14"/>
      <c r="E37" s="14"/>
      <c r="F37" s="14"/>
      <c r="G37" s="14"/>
      <c r="H37" s="15">
        <v>2</v>
      </c>
      <c r="I37" s="53"/>
      <c r="J37" s="15">
        <f>IF(M37=TRUE, H37, 0)</f>
        <v>2</v>
      </c>
      <c r="K37" s="43"/>
      <c r="M37" s="37" t="b">
        <v>1</v>
      </c>
    </row>
    <row r="38" spans="1:13" ht="17.399999999999999" x14ac:dyDescent="0.3">
      <c r="A38" s="27"/>
      <c r="B38" s="16" t="s">
        <v>36</v>
      </c>
      <c r="C38" s="17"/>
      <c r="D38" s="17"/>
      <c r="E38" s="17"/>
      <c r="F38" s="17"/>
      <c r="G38" s="17"/>
      <c r="H38" s="18">
        <v>3</v>
      </c>
      <c r="I38" s="54"/>
      <c r="J38" s="15">
        <f>IF(M38=TRUE, H38, 0)</f>
        <v>0</v>
      </c>
      <c r="K38" s="44"/>
      <c r="M38" s="37" t="b">
        <v>0</v>
      </c>
    </row>
    <row r="39" spans="1:13" ht="17.399999999999999" x14ac:dyDescent="0.3">
      <c r="A39" s="27"/>
      <c r="B39" s="20" t="s">
        <v>37</v>
      </c>
      <c r="C39" s="17"/>
      <c r="D39" s="17"/>
      <c r="E39" s="17"/>
      <c r="F39" s="17"/>
      <c r="G39" s="17"/>
      <c r="H39" s="18">
        <v>4</v>
      </c>
      <c r="I39" s="54"/>
      <c r="J39" s="15">
        <f>IF(M39=TRUE, H39, 0)</f>
        <v>4</v>
      </c>
      <c r="K39" s="44"/>
      <c r="M39" s="37" t="b">
        <v>1</v>
      </c>
    </row>
    <row r="40" spans="1:13" ht="17.399999999999999" x14ac:dyDescent="0.3">
      <c r="A40" s="27"/>
      <c r="B40" s="16"/>
      <c r="C40" s="17"/>
      <c r="D40" s="17"/>
      <c r="E40" s="17"/>
      <c r="F40" s="17"/>
      <c r="G40" s="17"/>
      <c r="H40" s="18"/>
      <c r="I40" s="54" t="s">
        <v>91</v>
      </c>
      <c r="J40" s="15"/>
      <c r="K40" s="44"/>
      <c r="M40" s="37" t="b">
        <v>0</v>
      </c>
    </row>
    <row r="41" spans="1:13" ht="17.399999999999999" x14ac:dyDescent="0.3">
      <c r="A41" s="27"/>
      <c r="B41" s="20"/>
      <c r="C41" s="17"/>
      <c r="D41" s="17"/>
      <c r="E41" s="17"/>
      <c r="F41" s="17"/>
      <c r="G41" s="17"/>
      <c r="H41" s="18"/>
      <c r="I41" s="54"/>
      <c r="J41" s="15"/>
      <c r="K41" s="44"/>
      <c r="M41" s="37" t="b">
        <v>0</v>
      </c>
    </row>
    <row r="42" spans="1:13" ht="17.399999999999999" x14ac:dyDescent="0.3">
      <c r="A42" s="27"/>
      <c r="B42" s="22" t="s">
        <v>38</v>
      </c>
      <c r="C42" s="17"/>
      <c r="D42" s="17"/>
      <c r="E42" s="17"/>
      <c r="F42" s="17"/>
      <c r="G42" s="17"/>
      <c r="H42" s="18">
        <v>5</v>
      </c>
      <c r="I42" s="54"/>
      <c r="J42" s="15">
        <f>IF(M42=TRUE, H42, 0)</f>
        <v>5</v>
      </c>
      <c r="K42" s="44"/>
      <c r="M42" s="37" t="b">
        <v>1</v>
      </c>
    </row>
    <row r="43" spans="1:13" x14ac:dyDescent="0.3">
      <c r="A43" s="27"/>
      <c r="B43" s="2"/>
      <c r="C43" s="2"/>
      <c r="D43" s="2"/>
      <c r="E43" s="2"/>
      <c r="F43" s="2"/>
      <c r="G43" s="2"/>
      <c r="H43" s="12"/>
      <c r="I43" s="55"/>
      <c r="J43" s="24"/>
      <c r="K43" s="45"/>
      <c r="M43" s="37"/>
    </row>
    <row r="44" spans="1:13" ht="22.8" x14ac:dyDescent="0.4">
      <c r="A44" s="28" t="s">
        <v>9</v>
      </c>
      <c r="B44" s="2"/>
      <c r="C44" s="2"/>
      <c r="D44" s="2"/>
      <c r="E44" s="2"/>
      <c r="F44" s="2"/>
      <c r="G44" s="2"/>
      <c r="H44" s="12"/>
      <c r="I44" s="55"/>
      <c r="J44" s="12"/>
      <c r="K44" s="46"/>
      <c r="M44" s="37"/>
    </row>
    <row r="45" spans="1:13" ht="17.399999999999999" x14ac:dyDescent="0.3">
      <c r="A45" s="27"/>
      <c r="B45" s="21" t="s">
        <v>39</v>
      </c>
      <c r="C45" s="14"/>
      <c r="D45" s="14"/>
      <c r="E45" s="14"/>
      <c r="F45" s="14"/>
      <c r="G45" s="14"/>
      <c r="H45" s="15">
        <v>2</v>
      </c>
      <c r="I45" s="53"/>
      <c r="J45" s="15">
        <f t="shared" ref="J45:J78" si="1">IF(M45=TRUE, H45, 0)</f>
        <v>2</v>
      </c>
      <c r="K45" s="43"/>
      <c r="M45" s="37" t="b">
        <v>1</v>
      </c>
    </row>
    <row r="46" spans="1:13" ht="17.399999999999999" x14ac:dyDescent="0.3">
      <c r="A46" s="27"/>
      <c r="B46" s="19" t="s">
        <v>40</v>
      </c>
      <c r="C46" s="17"/>
      <c r="D46" s="17"/>
      <c r="E46" s="17"/>
      <c r="F46" s="17"/>
      <c r="G46" s="14"/>
      <c r="H46" s="18">
        <v>2</v>
      </c>
      <c r="I46" s="54"/>
      <c r="J46" s="15">
        <f t="shared" si="1"/>
        <v>0</v>
      </c>
      <c r="K46" s="44"/>
      <c r="M46" s="37" t="b">
        <v>0</v>
      </c>
    </row>
    <row r="47" spans="1:13" ht="17.399999999999999" x14ac:dyDescent="0.3">
      <c r="A47" s="27"/>
      <c r="B47" s="20" t="s">
        <v>41</v>
      </c>
      <c r="C47" s="17"/>
      <c r="D47" s="17"/>
      <c r="E47" s="17"/>
      <c r="F47" s="17"/>
      <c r="G47" s="17"/>
      <c r="H47" s="18">
        <v>4</v>
      </c>
      <c r="I47" s="54"/>
      <c r="J47" s="15">
        <f t="shared" si="1"/>
        <v>0</v>
      </c>
      <c r="K47" s="44"/>
      <c r="M47" s="37" t="b">
        <v>0</v>
      </c>
    </row>
    <row r="48" spans="1:13" ht="17.399999999999999" x14ac:dyDescent="0.3">
      <c r="A48" s="27"/>
      <c r="B48" s="19" t="s">
        <v>42</v>
      </c>
      <c r="C48" s="17"/>
      <c r="D48" s="17"/>
      <c r="E48" s="17"/>
      <c r="F48" s="17"/>
      <c r="G48" s="14"/>
      <c r="H48" s="18">
        <v>3</v>
      </c>
      <c r="I48" s="54"/>
      <c r="J48" s="15">
        <f t="shared" si="1"/>
        <v>0</v>
      </c>
      <c r="K48" s="44"/>
      <c r="M48" s="37" t="b">
        <v>0</v>
      </c>
    </row>
    <row r="49" spans="1:13" ht="17.399999999999999" x14ac:dyDescent="0.3">
      <c r="A49" s="27"/>
      <c r="B49" s="19" t="s">
        <v>43</v>
      </c>
      <c r="C49" s="17"/>
      <c r="D49" s="17"/>
      <c r="E49" s="17"/>
      <c r="F49" s="17"/>
      <c r="G49" s="14"/>
      <c r="H49" s="18">
        <v>2</v>
      </c>
      <c r="I49" s="54"/>
      <c r="J49" s="15">
        <f t="shared" si="1"/>
        <v>0</v>
      </c>
      <c r="K49" s="44"/>
      <c r="M49" s="37" t="b">
        <v>0</v>
      </c>
    </row>
    <row r="50" spans="1:13" x14ac:dyDescent="0.3">
      <c r="A50" s="27"/>
      <c r="B50" s="2"/>
      <c r="C50" s="2"/>
      <c r="D50" s="2"/>
      <c r="E50" s="2"/>
      <c r="F50" s="2"/>
      <c r="G50" s="2"/>
      <c r="H50" s="12"/>
      <c r="I50" s="55"/>
      <c r="J50" s="24"/>
      <c r="K50" s="45"/>
      <c r="M50" s="37"/>
    </row>
    <row r="51" spans="1:13" ht="22.8" x14ac:dyDescent="0.4">
      <c r="A51" s="28" t="s">
        <v>10</v>
      </c>
      <c r="B51" s="2"/>
      <c r="C51" s="2"/>
      <c r="D51" s="2"/>
      <c r="E51" s="2"/>
      <c r="F51" s="2"/>
      <c r="G51" s="2"/>
      <c r="H51" s="12"/>
      <c r="I51" s="55"/>
      <c r="J51" s="12"/>
      <c r="K51" s="46"/>
      <c r="M51" s="37"/>
    </row>
    <row r="52" spans="1:13" ht="17.399999999999999" x14ac:dyDescent="0.3">
      <c r="A52" s="27"/>
      <c r="B52" s="21" t="s">
        <v>44</v>
      </c>
      <c r="C52" s="14"/>
      <c r="D52" s="14"/>
      <c r="E52" s="14"/>
      <c r="F52" s="14"/>
      <c r="G52" s="14"/>
      <c r="H52" s="15">
        <v>2</v>
      </c>
      <c r="I52" s="53"/>
      <c r="J52" s="15">
        <f t="shared" si="1"/>
        <v>2</v>
      </c>
      <c r="K52" s="43"/>
      <c r="M52" s="37" t="b">
        <v>1</v>
      </c>
    </row>
    <row r="53" spans="1:13" ht="17.399999999999999" x14ac:dyDescent="0.3">
      <c r="A53" s="27"/>
      <c r="B53" s="21" t="s">
        <v>70</v>
      </c>
      <c r="C53" s="14"/>
      <c r="D53" s="14"/>
      <c r="E53" s="14"/>
      <c r="F53" s="14"/>
      <c r="G53" s="14"/>
      <c r="H53" s="15">
        <v>2</v>
      </c>
      <c r="I53" s="53"/>
      <c r="J53" s="15">
        <f t="shared" si="1"/>
        <v>2</v>
      </c>
      <c r="K53" s="43"/>
      <c r="M53" s="37" t="b">
        <v>1</v>
      </c>
    </row>
    <row r="54" spans="1:13" ht="17.399999999999999" x14ac:dyDescent="0.3">
      <c r="A54" s="27"/>
      <c r="B54" s="13" t="s">
        <v>71</v>
      </c>
      <c r="C54" s="14"/>
      <c r="D54" s="14"/>
      <c r="E54" s="14"/>
      <c r="F54" s="14"/>
      <c r="G54" s="17"/>
      <c r="H54" s="15">
        <v>3</v>
      </c>
      <c r="I54" s="53"/>
      <c r="J54" s="15">
        <f t="shared" si="1"/>
        <v>0</v>
      </c>
      <c r="K54" s="43"/>
      <c r="M54" s="37" t="b">
        <v>0</v>
      </c>
    </row>
    <row r="55" spans="1:13" ht="17.399999999999999" x14ac:dyDescent="0.3">
      <c r="A55" s="27"/>
      <c r="B55" s="13" t="s">
        <v>72</v>
      </c>
      <c r="C55" s="14"/>
      <c r="D55" s="14"/>
      <c r="E55" s="14"/>
      <c r="F55" s="14"/>
      <c r="G55" s="17"/>
      <c r="H55" s="15">
        <v>3</v>
      </c>
      <c r="I55" s="53"/>
      <c r="J55" s="15">
        <f t="shared" si="1"/>
        <v>3</v>
      </c>
      <c r="K55" s="43"/>
      <c r="M55" s="37" t="b">
        <v>1</v>
      </c>
    </row>
    <row r="56" spans="1:13" ht="17.399999999999999" x14ac:dyDescent="0.3">
      <c r="A56" s="27"/>
      <c r="B56" s="20" t="s">
        <v>84</v>
      </c>
      <c r="C56" s="14"/>
      <c r="D56" s="14"/>
      <c r="E56" s="14"/>
      <c r="F56" s="14"/>
      <c r="G56" s="17"/>
      <c r="H56" s="15">
        <v>4</v>
      </c>
      <c r="I56" s="53"/>
      <c r="J56" s="15">
        <f t="shared" si="1"/>
        <v>0</v>
      </c>
      <c r="K56" s="43"/>
      <c r="M56" s="37" t="b">
        <v>0</v>
      </c>
    </row>
    <row r="57" spans="1:13" ht="17.399999999999999" x14ac:dyDescent="0.3">
      <c r="A57" s="27"/>
      <c r="B57" s="13" t="s">
        <v>73</v>
      </c>
      <c r="C57" s="14"/>
      <c r="D57" s="14"/>
      <c r="E57" s="14"/>
      <c r="F57" s="14"/>
      <c r="G57" s="17"/>
      <c r="H57" s="15">
        <v>3</v>
      </c>
      <c r="I57" s="53"/>
      <c r="J57" s="15">
        <f t="shared" si="1"/>
        <v>0</v>
      </c>
      <c r="K57" s="43"/>
      <c r="M57" s="37" t="b">
        <v>0</v>
      </c>
    </row>
    <row r="58" spans="1:13" ht="17.399999999999999" x14ac:dyDescent="0.3">
      <c r="A58" s="27"/>
      <c r="B58" s="20" t="s">
        <v>45</v>
      </c>
      <c r="C58" s="17"/>
      <c r="D58" s="17"/>
      <c r="E58" s="17"/>
      <c r="F58" s="17"/>
      <c r="G58" s="17"/>
      <c r="H58" s="18">
        <v>4</v>
      </c>
      <c r="I58" s="54"/>
      <c r="J58" s="15">
        <f t="shared" si="1"/>
        <v>4</v>
      </c>
      <c r="K58" s="44"/>
      <c r="M58" s="37" t="b">
        <v>1</v>
      </c>
    </row>
    <row r="59" spans="1:13" x14ac:dyDescent="0.3">
      <c r="A59" s="27"/>
      <c r="B59" s="2"/>
      <c r="C59" s="2"/>
      <c r="D59" s="2"/>
      <c r="E59" s="2"/>
      <c r="F59" s="2"/>
      <c r="G59" s="2"/>
      <c r="H59" s="12"/>
      <c r="I59" s="55"/>
      <c r="J59" s="24"/>
      <c r="K59" s="45"/>
      <c r="M59" s="37"/>
    </row>
    <row r="60" spans="1:13" ht="22.8" x14ac:dyDescent="0.4">
      <c r="A60" s="28" t="s">
        <v>11</v>
      </c>
      <c r="B60" s="2"/>
      <c r="C60" s="2"/>
      <c r="D60" s="2"/>
      <c r="E60" s="2"/>
      <c r="F60" s="2"/>
      <c r="G60" s="2"/>
      <c r="H60" s="12"/>
      <c r="I60" s="55"/>
      <c r="J60" s="12"/>
      <c r="K60" s="46"/>
      <c r="M60" s="37"/>
    </row>
    <row r="61" spans="1:13" ht="17.399999999999999" x14ac:dyDescent="0.3">
      <c r="A61" s="27"/>
      <c r="B61" s="21" t="s">
        <v>46</v>
      </c>
      <c r="C61" s="14"/>
      <c r="D61" s="14"/>
      <c r="E61" s="14"/>
      <c r="F61" s="14"/>
      <c r="G61" s="14"/>
      <c r="H61" s="15">
        <v>2</v>
      </c>
      <c r="I61" s="53"/>
      <c r="J61" s="15">
        <f t="shared" si="1"/>
        <v>2</v>
      </c>
      <c r="K61" s="43"/>
      <c r="M61" s="37" t="b">
        <v>1</v>
      </c>
    </row>
    <row r="62" spans="1:13" ht="17.399999999999999" x14ac:dyDescent="0.3">
      <c r="A62" s="27"/>
      <c r="B62" s="13" t="s">
        <v>49</v>
      </c>
      <c r="C62" s="14"/>
      <c r="D62" s="14"/>
      <c r="E62" s="14"/>
      <c r="F62" s="14"/>
      <c r="G62" s="17"/>
      <c r="H62" s="15">
        <v>3</v>
      </c>
      <c r="I62" s="53"/>
      <c r="J62" s="15">
        <f t="shared" si="1"/>
        <v>0</v>
      </c>
      <c r="K62" s="43"/>
      <c r="M62" s="37" t="b">
        <v>0</v>
      </c>
    </row>
    <row r="63" spans="1:13" ht="17.399999999999999" x14ac:dyDescent="0.3">
      <c r="A63" s="27"/>
      <c r="B63" s="20" t="s">
        <v>74</v>
      </c>
      <c r="C63" s="14"/>
      <c r="D63" s="14"/>
      <c r="E63" s="14"/>
      <c r="F63" s="14"/>
      <c r="G63" s="17"/>
      <c r="H63" s="15">
        <v>4</v>
      </c>
      <c r="I63" s="53"/>
      <c r="J63" s="15">
        <f t="shared" si="1"/>
        <v>0</v>
      </c>
      <c r="K63" s="43"/>
      <c r="M63" s="37" t="b">
        <v>0</v>
      </c>
    </row>
    <row r="64" spans="1:13" ht="17.399999999999999" x14ac:dyDescent="0.3">
      <c r="A64" s="27"/>
      <c r="B64" s="13" t="s">
        <v>47</v>
      </c>
      <c r="C64" s="14"/>
      <c r="D64" s="14"/>
      <c r="E64" s="14"/>
      <c r="F64" s="14"/>
      <c r="G64" s="17"/>
      <c r="H64" s="15">
        <v>3</v>
      </c>
      <c r="I64" s="53"/>
      <c r="J64" s="15">
        <f t="shared" si="1"/>
        <v>0</v>
      </c>
      <c r="K64" s="43"/>
      <c r="M64" s="37" t="b">
        <v>0</v>
      </c>
    </row>
    <row r="65" spans="1:13" ht="17.399999999999999" x14ac:dyDescent="0.3">
      <c r="A65" s="27"/>
      <c r="B65" s="13" t="s">
        <v>48</v>
      </c>
      <c r="C65" s="14"/>
      <c r="D65" s="14"/>
      <c r="E65" s="14"/>
      <c r="F65" s="14"/>
      <c r="G65" s="17"/>
      <c r="H65" s="15">
        <v>3</v>
      </c>
      <c r="I65" s="53"/>
      <c r="J65" s="15">
        <f t="shared" si="1"/>
        <v>0</v>
      </c>
      <c r="K65" s="43"/>
      <c r="M65" s="37" t="b">
        <v>0</v>
      </c>
    </row>
    <row r="66" spans="1:13" ht="17.399999999999999" x14ac:dyDescent="0.3">
      <c r="A66" s="27"/>
      <c r="B66" s="13" t="s">
        <v>50</v>
      </c>
      <c r="C66" s="14"/>
      <c r="D66" s="14"/>
      <c r="E66" s="14"/>
      <c r="F66" s="14"/>
      <c r="G66" s="17"/>
      <c r="H66" s="15">
        <v>3</v>
      </c>
      <c r="I66" s="53"/>
      <c r="J66" s="15">
        <f t="shared" si="1"/>
        <v>3</v>
      </c>
      <c r="K66" s="43"/>
      <c r="M66" s="37" t="b">
        <v>1</v>
      </c>
    </row>
    <row r="67" spans="1:13" ht="17.399999999999999" x14ac:dyDescent="0.3">
      <c r="A67" s="27"/>
      <c r="B67" s="13" t="s">
        <v>79</v>
      </c>
      <c r="C67" s="14"/>
      <c r="D67" s="14"/>
      <c r="E67" s="14"/>
      <c r="F67" s="14"/>
      <c r="G67" s="17"/>
      <c r="H67" s="15">
        <v>3</v>
      </c>
      <c r="I67" s="53"/>
      <c r="J67" s="15">
        <f t="shared" si="1"/>
        <v>3</v>
      </c>
      <c r="K67" s="43"/>
      <c r="M67" s="37" t="b">
        <v>1</v>
      </c>
    </row>
    <row r="68" spans="1:13" ht="17.399999999999999" x14ac:dyDescent="0.3">
      <c r="A68" s="27"/>
      <c r="B68" s="21" t="s">
        <v>75</v>
      </c>
      <c r="C68" s="14"/>
      <c r="D68" s="14"/>
      <c r="E68" s="14"/>
      <c r="F68" s="14"/>
      <c r="G68" s="14"/>
      <c r="H68" s="15">
        <v>2</v>
      </c>
      <c r="I68" s="53"/>
      <c r="J68" s="15">
        <f t="shared" si="1"/>
        <v>2</v>
      </c>
      <c r="K68" s="43"/>
      <c r="M68" s="37" t="b">
        <v>1</v>
      </c>
    </row>
    <row r="69" spans="1:13" ht="17.399999999999999" x14ac:dyDescent="0.3">
      <c r="A69" s="27"/>
      <c r="B69" s="13" t="s">
        <v>76</v>
      </c>
      <c r="C69" s="14"/>
      <c r="D69" s="14"/>
      <c r="E69" s="14"/>
      <c r="F69" s="14"/>
      <c r="G69" s="17"/>
      <c r="H69" s="15">
        <v>3</v>
      </c>
      <c r="I69" s="53"/>
      <c r="J69" s="15">
        <f t="shared" si="1"/>
        <v>3</v>
      </c>
      <c r="K69" s="43"/>
      <c r="M69" s="37" t="b">
        <v>1</v>
      </c>
    </row>
    <row r="70" spans="1:13" ht="17.399999999999999" x14ac:dyDescent="0.3">
      <c r="A70" s="27"/>
      <c r="B70" s="21" t="s">
        <v>52</v>
      </c>
      <c r="C70" s="14"/>
      <c r="D70" s="14"/>
      <c r="E70" s="14"/>
      <c r="F70" s="14"/>
      <c r="G70" s="14"/>
      <c r="H70" s="15">
        <v>2</v>
      </c>
      <c r="I70" s="53"/>
      <c r="J70" s="15">
        <f t="shared" si="1"/>
        <v>0</v>
      </c>
      <c r="K70" s="43"/>
      <c r="M70" s="37" t="b">
        <v>0</v>
      </c>
    </row>
    <row r="71" spans="1:13" ht="17.399999999999999" x14ac:dyDescent="0.3">
      <c r="A71" s="27"/>
      <c r="B71" s="13" t="s">
        <v>51</v>
      </c>
      <c r="C71" s="14"/>
      <c r="D71" s="14"/>
      <c r="E71" s="14"/>
      <c r="F71" s="14"/>
      <c r="G71" s="17"/>
      <c r="H71" s="15">
        <v>3</v>
      </c>
      <c r="I71" s="53"/>
      <c r="J71" s="15">
        <f t="shared" si="1"/>
        <v>0</v>
      </c>
      <c r="K71" s="43"/>
      <c r="M71" s="37" t="b">
        <v>0</v>
      </c>
    </row>
    <row r="72" spans="1:13" ht="17.399999999999999" x14ac:dyDescent="0.3">
      <c r="A72" s="27"/>
      <c r="B72" s="20" t="s">
        <v>77</v>
      </c>
      <c r="C72" s="14"/>
      <c r="D72" s="14"/>
      <c r="E72" s="14"/>
      <c r="F72" s="14"/>
      <c r="G72" s="17"/>
      <c r="H72" s="15">
        <v>4</v>
      </c>
      <c r="I72" s="53"/>
      <c r="J72" s="15">
        <f t="shared" si="1"/>
        <v>0</v>
      </c>
      <c r="K72" s="43"/>
      <c r="M72" s="37" t="b">
        <v>0</v>
      </c>
    </row>
    <row r="73" spans="1:13" ht="17.399999999999999" x14ac:dyDescent="0.3">
      <c r="A73" s="27"/>
      <c r="B73" s="13" t="s">
        <v>78</v>
      </c>
      <c r="C73" s="14"/>
      <c r="D73" s="14"/>
      <c r="E73" s="14"/>
      <c r="F73" s="14"/>
      <c r="G73" s="17"/>
      <c r="H73" s="15">
        <v>3</v>
      </c>
      <c r="I73" s="53"/>
      <c r="J73" s="15">
        <f t="shared" si="1"/>
        <v>0</v>
      </c>
      <c r="K73" s="43"/>
      <c r="M73" s="37" t="b">
        <v>0</v>
      </c>
    </row>
    <row r="74" spans="1:13" ht="17.399999999999999" x14ac:dyDescent="0.3">
      <c r="A74" s="27"/>
      <c r="B74" s="20" t="s">
        <v>53</v>
      </c>
      <c r="C74" s="14"/>
      <c r="D74" s="14"/>
      <c r="E74" s="14"/>
      <c r="F74" s="14"/>
      <c r="G74" s="17"/>
      <c r="H74" s="15">
        <v>4</v>
      </c>
      <c r="I74" s="53"/>
      <c r="J74" s="15">
        <f t="shared" si="1"/>
        <v>0</v>
      </c>
      <c r="K74" s="43"/>
      <c r="M74" s="37" t="b">
        <v>0</v>
      </c>
    </row>
    <row r="75" spans="1:13" ht="17.399999999999999" x14ac:dyDescent="0.3">
      <c r="A75" s="27"/>
      <c r="B75" s="20" t="s">
        <v>54</v>
      </c>
      <c r="C75" s="17"/>
      <c r="D75" s="17"/>
      <c r="E75" s="17"/>
      <c r="F75" s="17"/>
      <c r="G75" s="17"/>
      <c r="H75" s="18">
        <v>4</v>
      </c>
      <c r="I75" s="54"/>
      <c r="J75" s="15">
        <f t="shared" si="1"/>
        <v>0</v>
      </c>
      <c r="K75" s="44"/>
      <c r="M75" s="37" t="b">
        <v>0</v>
      </c>
    </row>
    <row r="76" spans="1:13" x14ac:dyDescent="0.3">
      <c r="A76" s="27"/>
      <c r="B76" s="2"/>
      <c r="C76" s="2"/>
      <c r="D76" s="2"/>
      <c r="E76" s="2"/>
      <c r="F76" s="2"/>
      <c r="G76" s="2"/>
      <c r="H76" s="12"/>
      <c r="I76" s="55"/>
      <c r="J76" s="24"/>
      <c r="K76" s="45"/>
      <c r="M76" s="37"/>
    </row>
    <row r="77" spans="1:13" ht="22.8" x14ac:dyDescent="0.4">
      <c r="A77" s="28" t="s">
        <v>12</v>
      </c>
      <c r="B77" s="2"/>
      <c r="C77" s="2"/>
      <c r="D77" s="2"/>
      <c r="E77" s="2"/>
      <c r="F77" s="2"/>
      <c r="G77" s="2"/>
      <c r="H77" s="12"/>
      <c r="I77" s="55"/>
      <c r="J77" s="12"/>
      <c r="K77" s="46"/>
      <c r="M77" s="37"/>
    </row>
    <row r="78" spans="1:13" ht="17.399999999999999" x14ac:dyDescent="0.3">
      <c r="A78" s="27"/>
      <c r="B78" s="21" t="s">
        <v>85</v>
      </c>
      <c r="C78" s="14"/>
      <c r="D78" s="14"/>
      <c r="E78" s="14"/>
      <c r="F78" s="14"/>
      <c r="G78" s="14"/>
      <c r="H78" s="15">
        <v>2</v>
      </c>
      <c r="I78" s="53"/>
      <c r="J78" s="15">
        <f t="shared" si="1"/>
        <v>2</v>
      </c>
      <c r="K78" s="43"/>
      <c r="M78" s="37" t="b">
        <v>1</v>
      </c>
    </row>
    <row r="79" spans="1:13" x14ac:dyDescent="0.3">
      <c r="A79" s="27"/>
      <c r="B79" s="2"/>
      <c r="C79" s="2"/>
      <c r="D79" s="2"/>
      <c r="E79" s="2"/>
      <c r="F79" s="2"/>
      <c r="G79" s="2"/>
      <c r="H79" s="12"/>
      <c r="I79" s="55"/>
      <c r="J79" s="24"/>
      <c r="K79" s="45"/>
      <c r="M79" s="37"/>
    </row>
    <row r="80" spans="1:13" ht="22.8" x14ac:dyDescent="0.4">
      <c r="A80" s="28" t="s">
        <v>13</v>
      </c>
      <c r="B80" s="2"/>
      <c r="C80" s="2"/>
      <c r="D80" s="2"/>
      <c r="E80" s="2"/>
      <c r="F80" s="2"/>
      <c r="G80" s="2"/>
      <c r="H80" s="12"/>
      <c r="I80" s="55"/>
      <c r="J80" s="12"/>
      <c r="K80" s="46"/>
      <c r="M80" s="37"/>
    </row>
    <row r="81" spans="1:13" ht="17.399999999999999" x14ac:dyDescent="0.3">
      <c r="A81" s="27"/>
      <c r="B81" s="21" t="s">
        <v>55</v>
      </c>
      <c r="C81" s="14"/>
      <c r="D81" s="14"/>
      <c r="E81" s="14"/>
      <c r="F81" s="14"/>
      <c r="G81" s="14"/>
      <c r="H81" s="15">
        <v>2</v>
      </c>
      <c r="I81" s="53"/>
      <c r="J81" s="15">
        <f>IF(M81=TRUE, H81, 0)</f>
        <v>2</v>
      </c>
      <c r="K81" s="43"/>
      <c r="M81" s="37" t="b">
        <v>1</v>
      </c>
    </row>
    <row r="82" spans="1:13" ht="17.399999999999999" x14ac:dyDescent="0.3">
      <c r="A82" s="27"/>
      <c r="B82" s="16"/>
      <c r="C82" s="17"/>
      <c r="D82" s="17"/>
      <c r="E82" s="17"/>
      <c r="F82" s="17"/>
      <c r="G82" s="17"/>
      <c r="H82" s="18"/>
      <c r="I82" s="54"/>
      <c r="J82" s="15"/>
      <c r="K82" s="44"/>
      <c r="M82" s="37" t="b">
        <v>0</v>
      </c>
    </row>
    <row r="83" spans="1:13" ht="17.399999999999999" x14ac:dyDescent="0.3">
      <c r="A83" s="27"/>
      <c r="B83" s="20" t="s">
        <v>21</v>
      </c>
      <c r="C83" s="17"/>
      <c r="D83" s="17"/>
      <c r="E83" s="17"/>
      <c r="F83" s="17"/>
      <c r="G83" s="10"/>
      <c r="H83" s="18">
        <v>4</v>
      </c>
      <c r="I83" s="54"/>
      <c r="J83" s="15">
        <f t="shared" ref="J83:J99" si="2">IF(M83=TRUE, H83, 0)</f>
        <v>4</v>
      </c>
      <c r="K83" s="44"/>
      <c r="M83" s="37" t="b">
        <v>1</v>
      </c>
    </row>
    <row r="84" spans="1:13" ht="17.399999999999999" x14ac:dyDescent="0.3">
      <c r="A84" s="27"/>
      <c r="B84" s="20" t="s">
        <v>14</v>
      </c>
      <c r="C84" s="17"/>
      <c r="D84" s="17"/>
      <c r="E84" s="17"/>
      <c r="F84" s="17"/>
      <c r="G84" s="17"/>
      <c r="H84" s="18">
        <v>4</v>
      </c>
      <c r="I84" s="54"/>
      <c r="J84" s="15">
        <f t="shared" si="2"/>
        <v>0</v>
      </c>
      <c r="K84" s="44"/>
      <c r="M84" s="37" t="b">
        <v>0</v>
      </c>
    </row>
    <row r="85" spans="1:13" ht="17.399999999999999" x14ac:dyDescent="0.3">
      <c r="A85" s="27"/>
      <c r="B85" s="16" t="s">
        <v>56</v>
      </c>
      <c r="C85" s="17"/>
      <c r="D85" s="17"/>
      <c r="E85" s="17"/>
      <c r="F85" s="17"/>
      <c r="G85" s="17"/>
      <c r="H85" s="18">
        <v>3</v>
      </c>
      <c r="I85" s="54"/>
      <c r="J85" s="15">
        <f t="shared" si="2"/>
        <v>0</v>
      </c>
      <c r="K85" s="44"/>
      <c r="M85" s="37" t="b">
        <v>0</v>
      </c>
    </row>
    <row r="86" spans="1:13" ht="17.399999999999999" x14ac:dyDescent="0.3">
      <c r="A86" s="27"/>
      <c r="B86" s="16" t="s">
        <v>57</v>
      </c>
      <c r="C86" s="17"/>
      <c r="D86" s="17"/>
      <c r="E86" s="17"/>
      <c r="F86" s="17"/>
      <c r="G86" s="17"/>
      <c r="H86" s="18">
        <v>3</v>
      </c>
      <c r="I86" s="54"/>
      <c r="J86" s="15">
        <f t="shared" si="2"/>
        <v>3</v>
      </c>
      <c r="K86" s="44"/>
      <c r="M86" s="37" t="b">
        <v>1</v>
      </c>
    </row>
    <row r="87" spans="1:13" ht="17.399999999999999" x14ac:dyDescent="0.3">
      <c r="A87" s="27"/>
      <c r="B87" s="21" t="s">
        <v>58</v>
      </c>
      <c r="C87" s="17"/>
      <c r="D87" s="17"/>
      <c r="E87" s="17"/>
      <c r="F87" s="17"/>
      <c r="G87" s="14"/>
      <c r="H87" s="18">
        <v>2</v>
      </c>
      <c r="I87" s="54"/>
      <c r="J87" s="15">
        <f t="shared" si="2"/>
        <v>0</v>
      </c>
      <c r="K87" s="44"/>
      <c r="M87" s="37" t="b">
        <v>0</v>
      </c>
    </row>
    <row r="88" spans="1:13" ht="17.399999999999999" x14ac:dyDescent="0.3">
      <c r="A88" s="27"/>
      <c r="B88" s="16" t="s">
        <v>59</v>
      </c>
      <c r="C88" s="17"/>
      <c r="D88" s="17"/>
      <c r="E88" s="17"/>
      <c r="F88" s="17"/>
      <c r="G88" s="17"/>
      <c r="H88" s="18">
        <v>3</v>
      </c>
      <c r="I88" s="54"/>
      <c r="J88" s="15">
        <f t="shared" si="2"/>
        <v>0</v>
      </c>
      <c r="K88" s="44"/>
      <c r="M88" s="37" t="b">
        <v>0</v>
      </c>
    </row>
    <row r="89" spans="1:13" ht="17.399999999999999" x14ac:dyDescent="0.3">
      <c r="A89" s="27"/>
      <c r="B89" s="16" t="s">
        <v>60</v>
      </c>
      <c r="C89" s="17"/>
      <c r="D89" s="17"/>
      <c r="E89" s="17"/>
      <c r="F89" s="17"/>
      <c r="G89" s="17"/>
      <c r="H89" s="18">
        <v>3</v>
      </c>
      <c r="I89" s="54"/>
      <c r="J89" s="15">
        <f t="shared" si="2"/>
        <v>0</v>
      </c>
      <c r="K89" s="44"/>
      <c r="M89" s="37" t="b">
        <v>0</v>
      </c>
    </row>
    <row r="90" spans="1:13" ht="17.399999999999999" x14ac:dyDescent="0.3">
      <c r="A90" s="47"/>
      <c r="B90" s="21" t="s">
        <v>80</v>
      </c>
      <c r="C90" s="17"/>
      <c r="D90" s="17"/>
      <c r="E90" s="17"/>
      <c r="F90" s="17"/>
      <c r="G90" s="14"/>
      <c r="H90" s="18">
        <v>2</v>
      </c>
      <c r="I90" s="54"/>
      <c r="J90" s="15">
        <f t="shared" si="2"/>
        <v>2</v>
      </c>
      <c r="K90" s="44"/>
      <c r="M90" s="37" t="b">
        <v>1</v>
      </c>
    </row>
    <row r="91" spans="1:13" ht="17.399999999999999" x14ac:dyDescent="0.3">
      <c r="A91" s="47"/>
      <c r="B91" s="20" t="s">
        <v>61</v>
      </c>
      <c r="C91" s="17"/>
      <c r="D91" s="17"/>
      <c r="E91" s="17"/>
      <c r="F91" s="17"/>
      <c r="G91" s="17"/>
      <c r="H91" s="18">
        <v>4</v>
      </c>
      <c r="I91" s="54"/>
      <c r="J91" s="15">
        <f t="shared" si="2"/>
        <v>0</v>
      </c>
      <c r="K91" s="44"/>
      <c r="M91" s="37" t="b">
        <v>0</v>
      </c>
    </row>
    <row r="92" spans="1:13" ht="17.399999999999999" x14ac:dyDescent="0.3">
      <c r="A92" s="47"/>
      <c r="B92" s="20" t="s">
        <v>62</v>
      </c>
      <c r="C92" s="17"/>
      <c r="D92" s="17"/>
      <c r="E92" s="17"/>
      <c r="F92" s="17"/>
      <c r="G92" s="17"/>
      <c r="H92" s="18">
        <v>4</v>
      </c>
      <c r="I92" s="54"/>
      <c r="J92" s="15">
        <f t="shared" si="2"/>
        <v>0</v>
      </c>
      <c r="K92" s="44"/>
      <c r="M92" s="37" t="b">
        <v>0</v>
      </c>
    </row>
    <row r="93" spans="1:13" ht="17.399999999999999" x14ac:dyDescent="0.3">
      <c r="A93" s="47"/>
      <c r="B93" s="20" t="s">
        <v>63</v>
      </c>
      <c r="C93" s="17"/>
      <c r="D93" s="17"/>
      <c r="E93" s="17"/>
      <c r="F93" s="17"/>
      <c r="G93" s="17"/>
      <c r="H93" s="18">
        <v>4</v>
      </c>
      <c r="I93" s="54"/>
      <c r="J93" s="15">
        <f t="shared" si="2"/>
        <v>0</v>
      </c>
      <c r="K93" s="44"/>
      <c r="M93" s="37" t="b">
        <v>0</v>
      </c>
    </row>
    <row r="94" spans="1:13" ht="17.399999999999999" x14ac:dyDescent="0.3">
      <c r="A94" s="47"/>
      <c r="B94" s="20" t="s">
        <v>86</v>
      </c>
      <c r="C94" s="17"/>
      <c r="D94" s="17"/>
      <c r="E94" s="17"/>
      <c r="F94" s="17"/>
      <c r="G94" s="17"/>
      <c r="H94" s="18">
        <v>4</v>
      </c>
      <c r="I94" s="54"/>
      <c r="J94" s="15">
        <f t="shared" si="2"/>
        <v>0</v>
      </c>
      <c r="K94" s="44"/>
      <c r="M94" s="37" t="b">
        <v>0</v>
      </c>
    </row>
    <row r="95" spans="1:13" ht="17.399999999999999" x14ac:dyDescent="0.3">
      <c r="A95" s="47"/>
      <c r="B95" s="20" t="s">
        <v>87</v>
      </c>
      <c r="C95" s="17"/>
      <c r="D95" s="17"/>
      <c r="E95" s="17"/>
      <c r="F95" s="17"/>
      <c r="G95" s="17"/>
      <c r="H95" s="18">
        <v>4</v>
      </c>
      <c r="I95" s="54"/>
      <c r="J95" s="15">
        <f t="shared" si="2"/>
        <v>0</v>
      </c>
      <c r="K95" s="44"/>
      <c r="M95" s="37" t="b">
        <v>0</v>
      </c>
    </row>
    <row r="96" spans="1:13" ht="17.399999999999999" x14ac:dyDescent="0.3">
      <c r="A96" s="47"/>
      <c r="B96" s="22" t="s">
        <v>88</v>
      </c>
      <c r="C96" s="17"/>
      <c r="D96" s="17"/>
      <c r="E96" s="17"/>
      <c r="F96" s="17"/>
      <c r="G96" s="17"/>
      <c r="H96" s="18">
        <v>5</v>
      </c>
      <c r="I96" s="54"/>
      <c r="J96" s="15">
        <f t="shared" si="2"/>
        <v>0</v>
      </c>
      <c r="K96" s="44"/>
      <c r="M96" s="37" t="b">
        <v>0</v>
      </c>
    </row>
    <row r="97" spans="1:13" ht="17.399999999999999" x14ac:dyDescent="0.3">
      <c r="A97" s="47"/>
      <c r="B97" s="22"/>
      <c r="C97" s="17"/>
      <c r="D97" s="17"/>
      <c r="E97" s="17"/>
      <c r="F97" s="17"/>
      <c r="G97" s="17"/>
      <c r="H97" s="18"/>
      <c r="I97" s="54"/>
      <c r="J97" s="15"/>
      <c r="K97" s="44"/>
      <c r="M97" s="37" t="b">
        <v>0</v>
      </c>
    </row>
    <row r="98" spans="1:13" ht="17.399999999999999" x14ac:dyDescent="0.3">
      <c r="A98" s="47"/>
      <c r="B98" s="22" t="s">
        <v>64</v>
      </c>
      <c r="C98" s="17"/>
      <c r="D98" s="17"/>
      <c r="E98" s="17"/>
      <c r="F98" s="17"/>
      <c r="G98" s="17"/>
      <c r="H98" s="18">
        <v>5</v>
      </c>
      <c r="I98" s="54"/>
      <c r="J98" s="15">
        <f t="shared" si="2"/>
        <v>0</v>
      </c>
      <c r="K98" s="44"/>
      <c r="M98" s="37" t="b">
        <v>0</v>
      </c>
    </row>
    <row r="99" spans="1:13" ht="17.399999999999999" x14ac:dyDescent="0.3">
      <c r="A99" s="47"/>
      <c r="B99" s="22" t="s">
        <v>89</v>
      </c>
      <c r="C99" s="17"/>
      <c r="D99" s="17"/>
      <c r="E99" s="17"/>
      <c r="F99" s="17"/>
      <c r="G99" s="17"/>
      <c r="H99" s="18">
        <v>5</v>
      </c>
      <c r="I99" s="54"/>
      <c r="J99" s="15">
        <f t="shared" si="2"/>
        <v>0</v>
      </c>
      <c r="K99" s="44"/>
      <c r="M99" s="37" t="b">
        <v>0</v>
      </c>
    </row>
    <row r="100" spans="1:13" ht="17.399999999999999" x14ac:dyDescent="0.3">
      <c r="A100" s="38"/>
      <c r="B100" s="52"/>
      <c r="C100" s="17"/>
      <c r="D100" s="17"/>
      <c r="E100" s="17"/>
      <c r="F100" s="17"/>
      <c r="G100" s="17"/>
      <c r="H100" s="18"/>
      <c r="I100" s="54"/>
      <c r="J100" s="15"/>
      <c r="K100" s="44"/>
      <c r="M100" s="37" t="b">
        <v>0</v>
      </c>
    </row>
    <row r="101" spans="1:13" x14ac:dyDescent="0.3">
      <c r="A101" s="38"/>
      <c r="B101" s="2"/>
      <c r="C101" s="2"/>
      <c r="D101" s="2"/>
      <c r="E101" s="2"/>
      <c r="F101" s="2"/>
      <c r="G101" s="2"/>
      <c r="H101" s="4"/>
      <c r="I101" s="1"/>
      <c r="J101" s="2"/>
      <c r="K101" s="42"/>
    </row>
    <row r="102" spans="1:13" ht="22.8" x14ac:dyDescent="0.4">
      <c r="A102" s="38"/>
      <c r="B102" s="2"/>
      <c r="C102" s="2"/>
      <c r="D102" s="2"/>
      <c r="E102" s="2"/>
      <c r="F102" s="2"/>
      <c r="G102" s="23"/>
      <c r="H102" s="23"/>
      <c r="I102" s="26" t="s">
        <v>81</v>
      </c>
      <c r="J102" s="25">
        <f>IF(SUM(J9:J100)&gt;100, 100, SUM(J9:J100))</f>
        <v>100</v>
      </c>
      <c r="K102" s="42"/>
    </row>
    <row r="103" spans="1:13" ht="22.8" x14ac:dyDescent="0.4">
      <c r="A103" s="38"/>
      <c r="B103" s="47"/>
      <c r="C103" s="47"/>
      <c r="D103" s="47"/>
      <c r="E103" s="47"/>
      <c r="F103" s="47"/>
      <c r="G103" s="48"/>
      <c r="H103" s="48"/>
      <c r="I103" s="49" t="s">
        <v>15</v>
      </c>
      <c r="J103" s="50">
        <f>IF(SUM(J9:J100)&gt;100, SUM(J9:J100)-100, 0)</f>
        <v>48</v>
      </c>
      <c r="K103" s="51"/>
    </row>
    <row r="104" spans="1:13" ht="100.2" customHeight="1" x14ac:dyDescent="0.3">
      <c r="A104" s="58"/>
      <c r="B104" s="59"/>
      <c r="C104" s="59"/>
      <c r="D104" s="59"/>
      <c r="E104" s="59"/>
      <c r="F104" s="59"/>
      <c r="G104" s="59"/>
      <c r="H104" s="59"/>
      <c r="I104" s="59"/>
      <c r="J104" s="59"/>
      <c r="K104" s="60"/>
    </row>
    <row r="105" spans="1:13" ht="15" thickBot="1" x14ac:dyDescent="0.35">
      <c r="A105" s="61"/>
      <c r="B105" s="62"/>
      <c r="C105" s="62"/>
      <c r="D105" s="62"/>
      <c r="E105" s="62"/>
      <c r="F105" s="62"/>
      <c r="G105" s="62"/>
      <c r="H105" s="62"/>
      <c r="I105" s="62"/>
      <c r="J105" s="62"/>
      <c r="K105" s="63"/>
    </row>
  </sheetData>
  <sheetProtection sheet="1" objects="1" scenarios="1" selectLockedCells="1"/>
  <mergeCells count="2">
    <mergeCell ref="B5:F6"/>
    <mergeCell ref="A104:K10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Reset">
                <anchor moveWithCells="1" sizeWithCells="1">
                  <from>
                    <xdr:col>10</xdr:col>
                    <xdr:colOff>152400</xdr:colOff>
                    <xdr:row>0</xdr:row>
                    <xdr:rowOff>83820</xdr:rowOff>
                  </from>
                  <to>
                    <xdr:col>10</xdr:col>
                    <xdr:colOff>1135380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Check Box 1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8</xdr:row>
                    <xdr:rowOff>15240</xdr:rowOff>
                  </from>
                  <to>
                    <xdr:col>8</xdr:col>
                    <xdr:colOff>838200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9</xdr:row>
                    <xdr:rowOff>15240</xdr:rowOff>
                  </from>
                  <to>
                    <xdr:col>8</xdr:col>
                    <xdr:colOff>838200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10</xdr:row>
                    <xdr:rowOff>15240</xdr:rowOff>
                  </from>
                  <to>
                    <xdr:col>8</xdr:col>
                    <xdr:colOff>838200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11</xdr:row>
                    <xdr:rowOff>15240</xdr:rowOff>
                  </from>
                  <to>
                    <xdr:col>8</xdr:col>
                    <xdr:colOff>838200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12</xdr:row>
                    <xdr:rowOff>15240</xdr:rowOff>
                  </from>
                  <to>
                    <xdr:col>8</xdr:col>
                    <xdr:colOff>838200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15</xdr:row>
                    <xdr:rowOff>15240</xdr:rowOff>
                  </from>
                  <to>
                    <xdr:col>8</xdr:col>
                    <xdr:colOff>838200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16</xdr:row>
                    <xdr:rowOff>15240</xdr:rowOff>
                  </from>
                  <to>
                    <xdr:col>8</xdr:col>
                    <xdr:colOff>838200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17</xdr:row>
                    <xdr:rowOff>15240</xdr:rowOff>
                  </from>
                  <to>
                    <xdr:col>8</xdr:col>
                    <xdr:colOff>838200</xdr:colOff>
                    <xdr:row>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18</xdr:row>
                    <xdr:rowOff>15240</xdr:rowOff>
                  </from>
                  <to>
                    <xdr:col>8</xdr:col>
                    <xdr:colOff>838200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19</xdr:row>
                    <xdr:rowOff>15240</xdr:rowOff>
                  </from>
                  <to>
                    <xdr:col>8</xdr:col>
                    <xdr:colOff>838200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20</xdr:row>
                    <xdr:rowOff>15240</xdr:rowOff>
                  </from>
                  <to>
                    <xdr:col>8</xdr:col>
                    <xdr:colOff>838200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21</xdr:row>
                    <xdr:rowOff>15240</xdr:rowOff>
                  </from>
                  <to>
                    <xdr:col>8</xdr:col>
                    <xdr:colOff>838200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22</xdr:row>
                    <xdr:rowOff>15240</xdr:rowOff>
                  </from>
                  <to>
                    <xdr:col>8</xdr:col>
                    <xdr:colOff>838200</xdr:colOff>
                    <xdr:row>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23</xdr:row>
                    <xdr:rowOff>15240</xdr:rowOff>
                  </from>
                  <to>
                    <xdr:col>8</xdr:col>
                    <xdr:colOff>838200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24</xdr:row>
                    <xdr:rowOff>15240</xdr:rowOff>
                  </from>
                  <to>
                    <xdr:col>8</xdr:col>
                    <xdr:colOff>838200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25</xdr:row>
                    <xdr:rowOff>15240</xdr:rowOff>
                  </from>
                  <to>
                    <xdr:col>8</xdr:col>
                    <xdr:colOff>838200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Check Box 19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26</xdr:row>
                    <xdr:rowOff>15240</xdr:rowOff>
                  </from>
                  <to>
                    <xdr:col>8</xdr:col>
                    <xdr:colOff>838200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Check Box 20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27</xdr:row>
                    <xdr:rowOff>15240</xdr:rowOff>
                  </from>
                  <to>
                    <xdr:col>8</xdr:col>
                    <xdr:colOff>838200</xdr:colOff>
                    <xdr:row>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Check Box 21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28</xdr:row>
                    <xdr:rowOff>15240</xdr:rowOff>
                  </from>
                  <to>
                    <xdr:col>8</xdr:col>
                    <xdr:colOff>838200</xdr:colOff>
                    <xdr:row>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4" name="Check Box 54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29</xdr:row>
                    <xdr:rowOff>15240</xdr:rowOff>
                  </from>
                  <to>
                    <xdr:col>8</xdr:col>
                    <xdr:colOff>838200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5" name="Check Box 55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30</xdr:row>
                    <xdr:rowOff>15240</xdr:rowOff>
                  </from>
                  <to>
                    <xdr:col>8</xdr:col>
                    <xdr:colOff>838200</xdr:colOff>
                    <xdr:row>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6" name="Check Box 61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36</xdr:row>
                    <xdr:rowOff>15240</xdr:rowOff>
                  </from>
                  <to>
                    <xdr:col>8</xdr:col>
                    <xdr:colOff>838200</xdr:colOff>
                    <xdr:row>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7" name="Check Box 62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37</xdr:row>
                    <xdr:rowOff>15240</xdr:rowOff>
                  </from>
                  <to>
                    <xdr:col>8</xdr:col>
                    <xdr:colOff>838200</xdr:colOff>
                    <xdr:row>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8" name="Check Box 63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38</xdr:row>
                    <xdr:rowOff>15240</xdr:rowOff>
                  </from>
                  <to>
                    <xdr:col>8</xdr:col>
                    <xdr:colOff>838200</xdr:colOff>
                    <xdr:row>39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9" name="Check Box 67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44</xdr:row>
                    <xdr:rowOff>15240</xdr:rowOff>
                  </from>
                  <to>
                    <xdr:col>8</xdr:col>
                    <xdr:colOff>838200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30" name="Check Box 68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45</xdr:row>
                    <xdr:rowOff>15240</xdr:rowOff>
                  </from>
                  <to>
                    <xdr:col>8</xdr:col>
                    <xdr:colOff>838200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31" name="Check Box 72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51</xdr:row>
                    <xdr:rowOff>7620</xdr:rowOff>
                  </from>
                  <to>
                    <xdr:col>8</xdr:col>
                    <xdr:colOff>838200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32" name="Check Box 73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52</xdr:row>
                    <xdr:rowOff>7620</xdr:rowOff>
                  </from>
                  <to>
                    <xdr:col>8</xdr:col>
                    <xdr:colOff>838200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3" name="Check Box 79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60</xdr:row>
                    <xdr:rowOff>15240</xdr:rowOff>
                  </from>
                  <to>
                    <xdr:col>8</xdr:col>
                    <xdr:colOff>838200</xdr:colOff>
                    <xdr:row>61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4" name="Check Box 80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61</xdr:row>
                    <xdr:rowOff>15240</xdr:rowOff>
                  </from>
                  <to>
                    <xdr:col>8</xdr:col>
                    <xdr:colOff>838200</xdr:colOff>
                    <xdr:row>62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5" name="Check Box 81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62</xdr:row>
                    <xdr:rowOff>15240</xdr:rowOff>
                  </from>
                  <to>
                    <xdr:col>8</xdr:col>
                    <xdr:colOff>838200</xdr:colOff>
                    <xdr:row>63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6" name="Check Box 82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63</xdr:row>
                    <xdr:rowOff>15240</xdr:rowOff>
                  </from>
                  <to>
                    <xdr:col>8</xdr:col>
                    <xdr:colOff>838200</xdr:colOff>
                    <xdr:row>64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7" name="Check Box 83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64</xdr:row>
                    <xdr:rowOff>15240</xdr:rowOff>
                  </from>
                  <to>
                    <xdr:col>8</xdr:col>
                    <xdr:colOff>838200</xdr:colOff>
                    <xdr:row>65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8" name="Check Box 84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65</xdr:row>
                    <xdr:rowOff>15240</xdr:rowOff>
                  </from>
                  <to>
                    <xdr:col>8</xdr:col>
                    <xdr:colOff>838200</xdr:colOff>
                    <xdr:row>66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39" name="Check Box 85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66</xdr:row>
                    <xdr:rowOff>15240</xdr:rowOff>
                  </from>
                  <to>
                    <xdr:col>8</xdr:col>
                    <xdr:colOff>838200</xdr:colOff>
                    <xdr:row>67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40" name="Check Box 95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80</xdr:row>
                    <xdr:rowOff>15240</xdr:rowOff>
                  </from>
                  <to>
                    <xdr:col>8</xdr:col>
                    <xdr:colOff>838200</xdr:colOff>
                    <xdr:row>81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41" name="Check Box 97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83</xdr:row>
                    <xdr:rowOff>15240</xdr:rowOff>
                  </from>
                  <to>
                    <xdr:col>8</xdr:col>
                    <xdr:colOff>838200</xdr:colOff>
                    <xdr:row>84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42" name="Check Box 98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84</xdr:row>
                    <xdr:rowOff>15240</xdr:rowOff>
                  </from>
                  <to>
                    <xdr:col>8</xdr:col>
                    <xdr:colOff>838200</xdr:colOff>
                    <xdr:row>85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43" name="Check Box 99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85</xdr:row>
                    <xdr:rowOff>15240</xdr:rowOff>
                  </from>
                  <to>
                    <xdr:col>8</xdr:col>
                    <xdr:colOff>838200</xdr:colOff>
                    <xdr:row>86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44" name="Check Box 100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86</xdr:row>
                    <xdr:rowOff>15240</xdr:rowOff>
                  </from>
                  <to>
                    <xdr:col>8</xdr:col>
                    <xdr:colOff>838200</xdr:colOff>
                    <xdr:row>87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45" name="Check Box 101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87</xdr:row>
                    <xdr:rowOff>15240</xdr:rowOff>
                  </from>
                  <to>
                    <xdr:col>8</xdr:col>
                    <xdr:colOff>838200</xdr:colOff>
                    <xdr:row>88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46" name="Check Box 102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88</xdr:row>
                    <xdr:rowOff>15240</xdr:rowOff>
                  </from>
                  <to>
                    <xdr:col>8</xdr:col>
                    <xdr:colOff>838200</xdr:colOff>
                    <xdr:row>89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47" name="Check Box 107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95</xdr:row>
                    <xdr:rowOff>15240</xdr:rowOff>
                  </from>
                  <to>
                    <xdr:col>8</xdr:col>
                    <xdr:colOff>838200</xdr:colOff>
                    <xdr:row>96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48" name="Check Box 108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94</xdr:row>
                    <xdr:rowOff>15240</xdr:rowOff>
                  </from>
                  <to>
                    <xdr:col>8</xdr:col>
                    <xdr:colOff>838200</xdr:colOff>
                    <xdr:row>95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49" name="Check Box 109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93</xdr:row>
                    <xdr:rowOff>15240</xdr:rowOff>
                  </from>
                  <to>
                    <xdr:col>8</xdr:col>
                    <xdr:colOff>838200</xdr:colOff>
                    <xdr:row>94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50" name="Check Box 110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92</xdr:row>
                    <xdr:rowOff>15240</xdr:rowOff>
                  </from>
                  <to>
                    <xdr:col>8</xdr:col>
                    <xdr:colOff>838200</xdr:colOff>
                    <xdr:row>93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51" name="Check Box 111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91</xdr:row>
                    <xdr:rowOff>15240</xdr:rowOff>
                  </from>
                  <to>
                    <xdr:col>8</xdr:col>
                    <xdr:colOff>838200</xdr:colOff>
                    <xdr:row>92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52" name="Check Box 112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90</xdr:row>
                    <xdr:rowOff>15240</xdr:rowOff>
                  </from>
                  <to>
                    <xdr:col>8</xdr:col>
                    <xdr:colOff>838200</xdr:colOff>
                    <xdr:row>91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53" name="Check Box 113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89</xdr:row>
                    <xdr:rowOff>15240</xdr:rowOff>
                  </from>
                  <to>
                    <xdr:col>8</xdr:col>
                    <xdr:colOff>838200</xdr:colOff>
                    <xdr:row>90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54" name="Check Box 114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71</xdr:row>
                    <xdr:rowOff>15240</xdr:rowOff>
                  </from>
                  <to>
                    <xdr:col>8</xdr:col>
                    <xdr:colOff>838200</xdr:colOff>
                    <xdr:row>72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55" name="Check Box 115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70</xdr:row>
                    <xdr:rowOff>15240</xdr:rowOff>
                  </from>
                  <to>
                    <xdr:col>8</xdr:col>
                    <xdr:colOff>838200</xdr:colOff>
                    <xdr:row>71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56" name="Check Box 116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68</xdr:row>
                    <xdr:rowOff>15240</xdr:rowOff>
                  </from>
                  <to>
                    <xdr:col>8</xdr:col>
                    <xdr:colOff>838200</xdr:colOff>
                    <xdr:row>69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57" name="Check Box 117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67</xdr:row>
                    <xdr:rowOff>15240</xdr:rowOff>
                  </from>
                  <to>
                    <xdr:col>8</xdr:col>
                    <xdr:colOff>838200</xdr:colOff>
                    <xdr:row>68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58" name="Check Box 118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54</xdr:row>
                    <xdr:rowOff>7620</xdr:rowOff>
                  </from>
                  <to>
                    <xdr:col>8</xdr:col>
                    <xdr:colOff>838200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59" name="Check Box 119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53</xdr:row>
                    <xdr:rowOff>7620</xdr:rowOff>
                  </from>
                  <to>
                    <xdr:col>8</xdr:col>
                    <xdr:colOff>838200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60" name="Check Box 120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47</xdr:row>
                    <xdr:rowOff>15240</xdr:rowOff>
                  </from>
                  <to>
                    <xdr:col>8</xdr:col>
                    <xdr:colOff>838200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61" name="Check Box 121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46</xdr:row>
                    <xdr:rowOff>15240</xdr:rowOff>
                  </from>
                  <to>
                    <xdr:col>8</xdr:col>
                    <xdr:colOff>838200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62" name="Check Box 124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32</xdr:row>
                    <xdr:rowOff>15240</xdr:rowOff>
                  </from>
                  <to>
                    <xdr:col>8</xdr:col>
                    <xdr:colOff>838200</xdr:colOff>
                    <xdr:row>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63" name="Check Box 125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31</xdr:row>
                    <xdr:rowOff>15240</xdr:rowOff>
                  </from>
                  <to>
                    <xdr:col>8</xdr:col>
                    <xdr:colOff>838200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64" name="Check Box 126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33</xdr:row>
                    <xdr:rowOff>15240</xdr:rowOff>
                  </from>
                  <to>
                    <xdr:col>8</xdr:col>
                    <xdr:colOff>838200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65" name="Check Box 127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41</xdr:row>
                    <xdr:rowOff>15240</xdr:rowOff>
                  </from>
                  <to>
                    <xdr:col>8</xdr:col>
                    <xdr:colOff>838200</xdr:colOff>
                    <xdr:row>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6" name="Check Box 128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48</xdr:row>
                    <xdr:rowOff>15240</xdr:rowOff>
                  </from>
                  <to>
                    <xdr:col>8</xdr:col>
                    <xdr:colOff>838200</xdr:colOff>
                    <xdr:row>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7" name="Check Box 129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55</xdr:row>
                    <xdr:rowOff>7620</xdr:rowOff>
                  </from>
                  <to>
                    <xdr:col>8</xdr:col>
                    <xdr:colOff>838200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8" name="Check Box 130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56</xdr:row>
                    <xdr:rowOff>7620</xdr:rowOff>
                  </from>
                  <to>
                    <xdr:col>8</xdr:col>
                    <xdr:colOff>838200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9" name="Check Box 131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57</xdr:row>
                    <xdr:rowOff>7620</xdr:rowOff>
                  </from>
                  <to>
                    <xdr:col>8</xdr:col>
                    <xdr:colOff>838200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70" name="Check Box 132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72</xdr:row>
                    <xdr:rowOff>15240</xdr:rowOff>
                  </from>
                  <to>
                    <xdr:col>8</xdr:col>
                    <xdr:colOff>838200</xdr:colOff>
                    <xdr:row>73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71" name="Check Box 133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73</xdr:row>
                    <xdr:rowOff>15240</xdr:rowOff>
                  </from>
                  <to>
                    <xdr:col>8</xdr:col>
                    <xdr:colOff>838200</xdr:colOff>
                    <xdr:row>74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72" name="Check Box 134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74</xdr:row>
                    <xdr:rowOff>15240</xdr:rowOff>
                  </from>
                  <to>
                    <xdr:col>8</xdr:col>
                    <xdr:colOff>838200</xdr:colOff>
                    <xdr:row>75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73" name="Check Box 135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77</xdr:row>
                    <xdr:rowOff>15240</xdr:rowOff>
                  </from>
                  <to>
                    <xdr:col>8</xdr:col>
                    <xdr:colOff>838200</xdr:colOff>
                    <xdr:row>78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74" name="Check Box 136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69</xdr:row>
                    <xdr:rowOff>15240</xdr:rowOff>
                  </from>
                  <to>
                    <xdr:col>8</xdr:col>
                    <xdr:colOff>838200</xdr:colOff>
                    <xdr:row>70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75" name="Check Box 227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82</xdr:row>
                    <xdr:rowOff>15240</xdr:rowOff>
                  </from>
                  <to>
                    <xdr:col>8</xdr:col>
                    <xdr:colOff>838200</xdr:colOff>
                    <xdr:row>83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76" name="Check Box 228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97</xdr:row>
                    <xdr:rowOff>15240</xdr:rowOff>
                  </from>
                  <to>
                    <xdr:col>8</xdr:col>
                    <xdr:colOff>838200</xdr:colOff>
                    <xdr:row>98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77" name="Check Box 229">
              <controlPr defaultSize="0" autoFill="0" autoLine="0" autoPict="0">
                <anchor moveWithCells="1" sizeWithCells="1">
                  <from>
                    <xdr:col>8</xdr:col>
                    <xdr:colOff>594360</xdr:colOff>
                    <xdr:row>98</xdr:row>
                    <xdr:rowOff>15240</xdr:rowOff>
                  </from>
                  <to>
                    <xdr:col>8</xdr:col>
                    <xdr:colOff>838200</xdr:colOff>
                    <xdr:row>99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Pong Rubric</vt:lpstr>
    </vt:vector>
  </TitlesOfParts>
  <Company>Full Sail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Sail Employee</dc:creator>
  <cp:lastModifiedBy>pierre531</cp:lastModifiedBy>
  <cp:lastPrinted>2011-06-02T19:57:23Z</cp:lastPrinted>
  <dcterms:created xsi:type="dcterms:W3CDTF">2011-06-02T18:25:39Z</dcterms:created>
  <dcterms:modified xsi:type="dcterms:W3CDTF">2014-10-22T12:56:29Z</dcterms:modified>
</cp:coreProperties>
</file>